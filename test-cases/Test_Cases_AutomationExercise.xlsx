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mlesh\Downloads\"/>
    </mc:Choice>
  </mc:AlternateContent>
  <xr:revisionPtr revIDLastSave="0" documentId="13_ncr:1_{4162838F-F627-4254-BE04-CA7DD5FC4F86}" xr6:coauthVersionLast="47" xr6:coauthVersionMax="47" xr10:uidLastSave="{00000000-0000-0000-0000-000000000000}"/>
  <bookViews>
    <workbookView xWindow="-108" yWindow="-108" windowWidth="23256" windowHeight="12456" tabRatio="500" firstSheet="1" activeTab="3" xr2:uid="{00000000-000D-0000-FFFF-FFFF00000000}"/>
  </bookViews>
  <sheets>
    <sheet name="README" sheetId="1" r:id="rId1"/>
    <sheet name="Summary" sheetId="2" r:id="rId2"/>
    <sheet name="Signup" sheetId="3" r:id="rId3"/>
    <sheet name="Login" sheetId="4" r:id="rId4"/>
    <sheet name="Products_Search" sheetId="5" r:id="rId5"/>
    <sheet name="Cart" sheetId="6" r:id="rId6"/>
    <sheet name="Checkout" sheetId="7" r:id="rId7"/>
    <sheet name="Contact_U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 i="2" l="1"/>
  <c r="F7" i="2"/>
  <c r="E7" i="2"/>
  <c r="D7" i="2"/>
  <c r="C7" i="2"/>
  <c r="B7" i="2"/>
  <c r="F6" i="2"/>
  <c r="E6" i="2"/>
  <c r="D6" i="2"/>
  <c r="C6" i="2"/>
  <c r="B6" i="2"/>
  <c r="F5" i="2"/>
  <c r="E5" i="2"/>
  <c r="D5" i="2"/>
  <c r="C5" i="2"/>
  <c r="B5" i="2"/>
  <c r="F4" i="2"/>
  <c r="E4" i="2"/>
  <c r="D4" i="2"/>
  <c r="C4" i="2"/>
  <c r="B4" i="2"/>
  <c r="F3" i="2"/>
  <c r="E3" i="2"/>
  <c r="D3" i="2"/>
  <c r="C3" i="2"/>
  <c r="B3" i="2"/>
  <c r="F2" i="2"/>
  <c r="E2" i="2"/>
  <c r="D2" i="2"/>
  <c r="C2" i="2"/>
  <c r="G6" i="2" l="1"/>
  <c r="G5" i="2"/>
  <c r="G4" i="2"/>
  <c r="G3" i="2"/>
  <c r="G2" i="2"/>
  <c r="D8" i="2"/>
  <c r="F8" i="2"/>
  <c r="G7" i="2"/>
  <c r="C8" i="2"/>
  <c r="E8" i="2"/>
  <c r="B8" i="2"/>
  <c r="G8" i="2" l="1"/>
</calcChain>
</file>

<file path=xl/sharedStrings.xml><?xml version="1.0" encoding="utf-8"?>
<sst xmlns="http://schemas.openxmlformats.org/spreadsheetml/2006/main" count="437" uniqueCount="217">
  <si>
    <t>Test Case Workbook: AutomationExercise.com</t>
  </si>
  <si>
    <t>Purpose</t>
  </si>
  <si>
    <t>Test cases and execution results for manual black box testing. One tab per module; the Summary tab counts results automatically.</t>
  </si>
  <si>
    <t>How to use</t>
  </si>
  <si>
    <t>1. Fill in the yellow cells on each module tab (Tester Name, Date, Operating System, Browser).
2. Run each test case and record the Actual Result.
3. Set Status from the dropdown (Pass / Fail / Blocked / Not Run).
4. For every Fail, log a bug in Jira and enter its ID in the Bug ID column.
5. Add more test cases in the empty rows below the table (rows 12 to 60 are ready).</t>
  </si>
  <si>
    <t>Yellow cells</t>
  </si>
  <si>
    <t>Cells you need to edit. Everything else is already filled in.</t>
  </si>
  <si>
    <t>Example rows</t>
  </si>
  <si>
    <t>The Signup and Login tabs contain starter test cases that also serve as examples of the expected format.</t>
  </si>
  <si>
    <t>Test Case ID format</t>
  </si>
  <si>
    <t>TC_&lt;MODULE&gt;_&lt;NUMBER&gt;, for example TC_CART_01. Use the same ID when referring to a test case in a Jira bug.</t>
  </si>
  <si>
    <t>Status values</t>
  </si>
  <si>
    <t>Pass = actual matches expected. Fail = does not match (log a bug). Blocked = could not run (for example, site down). Not Run = not executed yet.</t>
  </si>
  <si>
    <t>Priority values</t>
  </si>
  <si>
    <t>High = core feature or likely to affect many users. Medium = important but not critical. Low = minor or cosmetic.</t>
  </si>
  <si>
    <t>IMPORTANT</t>
  </si>
  <si>
    <t>The Expected Results in the starter cases are based on normal e-commerce behavior. While you explore and run the site, check each one against what the site is designed to do and edit the wording if needed. Test input values in [brackets] are placeholders: replace them with your own dummy data.</t>
  </si>
  <si>
    <t>Summary tab</t>
  </si>
  <si>
    <t>Uses formulas, so it updates by itself as you change Status values.</t>
  </si>
  <si>
    <t>Module</t>
  </si>
  <si>
    <t>Total</t>
  </si>
  <si>
    <t>Pass</t>
  </si>
  <si>
    <t>Fail</t>
  </si>
  <si>
    <t>Blocked</t>
  </si>
  <si>
    <t>Not Run</t>
  </si>
  <si>
    <t>Pass %</t>
  </si>
  <si>
    <t>Signup</t>
  </si>
  <si>
    <t>Login</t>
  </si>
  <si>
    <t>Products_Search</t>
  </si>
  <si>
    <t>Cart</t>
  </si>
  <si>
    <t>Checkout</t>
  </si>
  <si>
    <t>Contact_Us</t>
  </si>
  <si>
    <t>TOTAL</t>
  </si>
  <si>
    <t>Counts update automatically from the Status column on each module tab.</t>
  </si>
  <si>
    <t>Module Name</t>
  </si>
  <si>
    <t>Test Scenario</t>
  </si>
  <si>
    <t>Verify a new user can register successfully and that invalid or duplicate registration data is handled correctly.</t>
  </si>
  <si>
    <t>Test Case Description</t>
  </si>
  <si>
    <t>To check the signup (registration) functionality of AutomationExercise.com.</t>
  </si>
  <si>
    <t>Prerequisites</t>
  </si>
  <si>
    <t>1. Stable internet connection
2. Browser installed (Chrome recommended)
3. A test account created with dummy details (not real personal data)</t>
  </si>
  <si>
    <t>Environment: OS</t>
  </si>
  <si>
    <t>Environment: Browser</t>
  </si>
  <si>
    <t>Application URL</t>
  </si>
  <si>
    <t>https://automationexercise.com</t>
  </si>
  <si>
    <t>Tester Name</t>
  </si>
  <si>
    <t>Date</t>
  </si>
  <si>
    <t>Test Case ID</t>
  </si>
  <si>
    <t>Test Steps</t>
  </si>
  <si>
    <t>Test Input</t>
  </si>
  <si>
    <t>Expected Result</t>
  </si>
  <si>
    <t>Actual Result</t>
  </si>
  <si>
    <t>Status</t>
  </si>
  <si>
    <t>Priority</t>
  </si>
  <si>
    <t>Bug ID</t>
  </si>
  <si>
    <t>Comments</t>
  </si>
  <si>
    <t>TC_SIGNUP_01</t>
  </si>
  <si>
    <t>1. Open the Home page
2. Click 'Signup / Login'
3. Enter Name and a new Email under 'New User Signup!'
4. Click 'Signup'
5. Fill in the Account Information and Address details
6. Click 'Create Account'</t>
  </si>
  <si>
    <t>'Account Created!' message is shown and the user can continue to the site</t>
  </si>
  <si>
    <t>High</t>
  </si>
  <si>
    <t>TC_SIGNUP_02</t>
  </si>
  <si>
    <t>Account created in TC_SIGNUP_01</t>
  </si>
  <si>
    <t>User is logged in and 'Logged in as [name]' is shown in the header</t>
  </si>
  <si>
    <t>Medium</t>
  </si>
  <si>
    <t>TC_SIGNUP_03</t>
  </si>
  <si>
    <t>1. Go to 'Signup / Login'
2. Enter Name and an email that is already registered
3. Click 'Signup'</t>
  </si>
  <si>
    <t>An error message says the email already exists and no new account is created</t>
  </si>
  <si>
    <t>TC_SIGNUP_04</t>
  </si>
  <si>
    <t>1. Go to 'Signup / Login'
2. Leave Name and Email blank
3. Click 'Signup'</t>
  </si>
  <si>
    <t>Name: (blank)
Email: (blank)</t>
  </si>
  <si>
    <t>User is prompted to fill the required fields and cannot proceed</t>
  </si>
  <si>
    <t>TC_SIGNUP_05</t>
  </si>
  <si>
    <t>1. Go to 'Signup / Login'
2. Enter a Name and an email without '@'
3. Click 'Signup'</t>
  </si>
  <si>
    <t>Invalid email format is rejected with a validation message</t>
  </si>
  <si>
    <t>TC_SIGNUP_06</t>
  </si>
  <si>
    <t>1. Start signup with valid Name and Email
2. On the Account Information page, leave mandatory fields blank (password, address, etc.)
3. Click 'Create Account'</t>
  </si>
  <si>
    <t>Mandatory fields: (blank)</t>
  </si>
  <si>
    <t>Account is not created and the user is told which fields are required</t>
  </si>
  <si>
    <t>TC_SIGNUP_07</t>
  </si>
  <si>
    <t>1. Start signup with valid Name and Email
2. Type a password on the Account Information page</t>
  </si>
  <si>
    <t>Password characters are masked (shown as dots) while typing</t>
  </si>
  <si>
    <t>Low</t>
  </si>
  <si>
    <t>1. Log in with the newly created account
2. Click 'Delete Account'</t>
  </si>
  <si>
    <t>'Account Deleted!' message is shown and the user can no longer log in with those credentials</t>
  </si>
  <si>
    <t>Verify a registered user can log in and log out, and that invalid credentials are rejected.</t>
  </si>
  <si>
    <t>To check the login and logout functionality of AutomationExercise.com.</t>
  </si>
  <si>
    <t>TC_LOGIN_01</t>
  </si>
  <si>
    <t>1. Open the Home page
2. Click 'Signup / Login'
3. Enter registered Email and Password under 'Login to your account'
4. Click 'Login'</t>
  </si>
  <si>
    <t>TC_LOGIN_02</t>
  </si>
  <si>
    <t>1. Go to 'Signup / Login'
2. Enter registered Email and a wrong Password
3. Click 'Login'</t>
  </si>
  <si>
    <t>Login fails with an 'incorrect email or password' type of error message</t>
  </si>
  <si>
    <t>TC_LOGIN_03</t>
  </si>
  <si>
    <t>1. Go to 'Signup / Login'
2. Enter an email that is not registered and any password
3. Click 'Login'</t>
  </si>
  <si>
    <t>Login fails with an error message and no session is created</t>
  </si>
  <si>
    <t>TC_LOGIN_04</t>
  </si>
  <si>
    <t>1. Go to 'Signup / Login'
2. Leave Email and Password blank
3. Click 'Login'</t>
  </si>
  <si>
    <t>Email: (blank)
Password: (blank)</t>
  </si>
  <si>
    <t>User is prompted to fill the required fields and cannot log in</t>
  </si>
  <si>
    <t>TC_LOGIN_05</t>
  </si>
  <si>
    <t>1. Go to 'Signup / Login'
2. Enter an email without '@' and a password
3. Click 'Login'</t>
  </si>
  <si>
    <t>TC_LOGIN_06</t>
  </si>
  <si>
    <t>1. Go to 'Signup / Login'
2. Type a password in the login form</t>
  </si>
  <si>
    <t>TC_LOGIN_07</t>
  </si>
  <si>
    <t>1. Log in with valid credentials
2. Click 'Logout'</t>
  </si>
  <si>
    <t>Valid registered credentials</t>
  </si>
  <si>
    <t>User is logged out and taken back to the Login page</t>
  </si>
  <si>
    <t>TC_LOGIN_08</t>
  </si>
  <si>
    <t>1. Log in with valid credentials
2. Click 'Logout'
3. Click the browser Back button</t>
  </si>
  <si>
    <t>User does not appear logged in and cannot use account features without logging in again</t>
  </si>
  <si>
    <t>Products / Search</t>
  </si>
  <si>
    <t>Verify users can browse, search and filter products and view product details.</t>
  </si>
  <si>
    <t>To check product listing, search, filters and product details of AutomationExercise.com.</t>
  </si>
  <si>
    <t>Verify users can add, remove and update items in the cart and that totals are correct.</t>
  </si>
  <si>
    <t>To check the shopping cart functionality of AutomationExercise.com.</t>
  </si>
  <si>
    <t>Verify users can place an order, receive confirmation and download the invoice.</t>
  </si>
  <si>
    <t>To check the checkout, payment form and order confirmation of AutomationExercise.com.</t>
  </si>
  <si>
    <t>Contact Us</t>
  </si>
  <si>
    <t>Verify the Contact Us form accepts valid input, validates invalid input and supports file upload.</t>
  </si>
  <si>
    <t>To check the Contact Us form of AutomationExercise.com.</t>
  </si>
  <si>
    <t>TC_CONTACTUS_01</t>
  </si>
  <si>
    <t xml:space="preserve">1. Open the Home page
2. Click 'Contact us'
3. Enter Name,Email,Subject, message and choose file for upload under 'GET IN TOUCH'
4. Click 'Submit'
</t>
  </si>
  <si>
    <t>Name: Rohan
Email: Rohan1234@gmail.com
Subject:Contacting you!                        Message: Hello there!                        File chosen: Testfile123</t>
  </si>
  <si>
    <t>Success! Your details have been submitted successfully.</t>
  </si>
  <si>
    <t>1. Open the Home page
2. Click 'Contact us'
3. Enter only Name
4. Click 'Submit'</t>
  </si>
  <si>
    <t>Name: Rohan</t>
  </si>
  <si>
    <t>1. Open the Home page
2. Click 'Contact us'
3. Enter only Email
4. Click 'Submit'</t>
  </si>
  <si>
    <t>Email: Rohan1234@gmail.com</t>
  </si>
  <si>
    <t>1. Open the Home page
2. Click 'Contact us'
3. Enter only Subject
4. Click 'Submit'</t>
  </si>
  <si>
    <t>1. Open the Home page
2. Click 'Contact us'
3. Enter only Message
4. Click 'Submit'</t>
  </si>
  <si>
    <t>1. Open the Home page
2. Click 'Contact us'
3. Upload file only
4. Click 'Submit'</t>
  </si>
  <si>
    <t xml:space="preserve">Subject:Contacting you!  </t>
  </si>
  <si>
    <t xml:space="preserve">Message: Hello there! </t>
  </si>
  <si>
    <t>File chosen: Testfile123</t>
  </si>
  <si>
    <t>1. Open the Home page
2. Click 'Contact us'
3. Click 'Submit'</t>
  </si>
  <si>
    <t>Press submit button</t>
  </si>
  <si>
    <t>Email: Rohan1234</t>
  </si>
  <si>
    <t>1. Open the Home page
2. Click 'Contact us'
3. Enter Invalid Email Format
4. Click 'Submit'</t>
  </si>
  <si>
    <t>1. Open the Home page
2. Click 'Contact us'
3. Enter Invalid name Format
4. Click 'Submit'</t>
  </si>
  <si>
    <t>Name: 12345</t>
  </si>
  <si>
    <t>TC_CONTACTUS_02</t>
  </si>
  <si>
    <t>TC_CONTACTUS_03</t>
  </si>
  <si>
    <t>TC_CONTACTUS_04</t>
  </si>
  <si>
    <t>TC_CONTACTUS_05</t>
  </si>
  <si>
    <t>TC_CONTACTUS_06</t>
  </si>
  <si>
    <t>TC_CONTACTUS_07</t>
  </si>
  <si>
    <t>TC_CONTACTUS_08</t>
  </si>
  <si>
    <t>TC_CONTACTUS_09</t>
  </si>
  <si>
    <t>Submit button should not work</t>
  </si>
  <si>
    <t xml:space="preserve">Please Enter valid field </t>
  </si>
  <si>
    <t xml:space="preserve"> Windows 11</t>
  </si>
  <si>
    <t xml:space="preserve"> Google Chrome</t>
  </si>
  <si>
    <t>Kshitj Bhatiya</t>
  </si>
  <si>
    <t>[05/10/2026]</t>
  </si>
  <si>
    <t xml:space="preserve">Name: Rohan
Email: Rohan1234@gmail.com
    </t>
  </si>
  <si>
    <t>Successfully diverts to other page</t>
  </si>
  <si>
    <t>Name:Rohan
Email:Rohan1234@gmail.com</t>
  </si>
  <si>
    <t>Name: Rohan
Email: Rohan1234@</t>
  </si>
  <si>
    <t>Password: 12345678</t>
  </si>
  <si>
    <t>Account Deleted!             Message shown</t>
  </si>
  <si>
    <t>Windows 11</t>
  </si>
  <si>
    <t>Google Chrome</t>
  </si>
  <si>
    <t>Email: Rohan1234@gmail.com
Password: 12345678</t>
  </si>
  <si>
    <t>User is successfully logged in.</t>
  </si>
  <si>
    <t>Email: Rohan1234@gmail.com
Password: 11111</t>
  </si>
  <si>
    <t>Message displayed :Your email or password is incorrect!                 Login fails</t>
  </si>
  <si>
    <t>Email:  Rohan5555@gmail.com
Password: 0000000</t>
  </si>
  <si>
    <t>Email: testmail.com
Password: 12345678</t>
  </si>
  <si>
    <t xml:space="preserve">Password characters are masked </t>
  </si>
  <si>
    <t>TC_PRODUCT_01</t>
  </si>
  <si>
    <t>Product Name:Dress</t>
  </si>
  <si>
    <t>It should display every item matching with keyword</t>
  </si>
  <si>
    <t>It do successfully display items.</t>
  </si>
  <si>
    <t xml:space="preserve">1. Open the Home page
2. Click 'Products'
3. Enter Product Name 
4. Click 'Search Icon'
</t>
  </si>
  <si>
    <t xml:space="preserve">
Cart is empty! Click here to buy products.Shipping &amp; Logistics</t>
  </si>
  <si>
    <t>1. Open the Home page
2. Click 'Products'
3. Enter Product Name 
4. Click 'Search Icon'                                            5. Under Catogries choose 'Saree'</t>
  </si>
  <si>
    <t>In filters under women click 'Saree'</t>
  </si>
  <si>
    <t>It should display every item matching with filter</t>
  </si>
  <si>
    <t>1. Open the Home page
2. Click 'Products'                                              3. Under Brands choose 'POLO'</t>
  </si>
  <si>
    <t>In Filters under Brands choose 'POLO'</t>
  </si>
  <si>
    <t>1. Open the Home page
2. Click 'Products'                                              3. Click ' View Prodect'</t>
  </si>
  <si>
    <t>click view prodect under random prodect</t>
  </si>
  <si>
    <t>It should open detailed page about the same product</t>
  </si>
  <si>
    <t>It do open the detailed product page.</t>
  </si>
  <si>
    <t>Your product has been added to cart.</t>
  </si>
  <si>
    <t xml:space="preserve">Press 'Add to Cart' </t>
  </si>
  <si>
    <t>Product does successfully get added to Cart.</t>
  </si>
  <si>
    <t>TC_CART_01</t>
  </si>
  <si>
    <t xml:space="preserve">1. Open the Home page
2. Click 'Cart'
 </t>
  </si>
  <si>
    <t>Click Cart button on home page(When there are no item added to cart)</t>
  </si>
  <si>
    <t>Cart is empty and does show proper message.</t>
  </si>
  <si>
    <t xml:space="preserve">1. Open the Home page
2. Click 'Cart'                                                                          3.Click Cross icon                                                                                          </t>
  </si>
  <si>
    <t>Click cross Icon to remove Item</t>
  </si>
  <si>
    <t>Selected Item should be removed from Cart</t>
  </si>
  <si>
    <t>Selected Item has been removed from Cart</t>
  </si>
  <si>
    <t>TC_CHECKOUT_01</t>
  </si>
  <si>
    <t>1. Open the Home page
2. Click 'Cart'
3. Click' Procced to Checkout'</t>
  </si>
  <si>
    <t>Click procced to Checkout in the cart window</t>
  </si>
  <si>
    <t xml:space="preserve">Click Procced to checkout when User is not logged in </t>
  </si>
  <si>
    <t>Register / Login account to proceed on checkout</t>
  </si>
  <si>
    <t>All the details such as address should be correct as well as the item</t>
  </si>
  <si>
    <t>All the details such as address is correct as well as the item</t>
  </si>
  <si>
    <t>1. Open the Home page
2. Click 'Cart'
3. Click' Procced to Checkout'                               4.Click 'Place Order'</t>
  </si>
  <si>
    <t xml:space="preserve">Clicking place order </t>
  </si>
  <si>
    <t>Correct payment window shall Open.</t>
  </si>
  <si>
    <t>Correct payment window is Opening.</t>
  </si>
  <si>
    <t>TC_CHECKOUT_03</t>
  </si>
  <si>
    <t>TC_CHECKOUT_02</t>
  </si>
  <si>
    <t>TC_PRODUCT_02</t>
  </si>
  <si>
    <t>TC_PRODUCT_03</t>
  </si>
  <si>
    <t>TC_PRODUCT_04</t>
  </si>
  <si>
    <t>TC_PRODUCT_05</t>
  </si>
  <si>
    <t>TC_CART_02</t>
  </si>
  <si>
    <t>1. Open the Home page
2. Click 'Products'                                              3. Click ' View Product'                                          4. Click 'Add to Cart'</t>
  </si>
  <si>
    <t xml:space="preserve"> 05-10-2026</t>
  </si>
  <si>
    <t>BUG-3</t>
  </si>
  <si>
    <t>/BUG-2</t>
  </si>
  <si>
    <t>BUG-1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</si>
</sst>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F3864"/>
      <name val="Arial"/>
      <charset val="1"/>
    </font>
    <font>
      <b/>
      <sz val="11"/>
      <name val="Arial"/>
      <charset val="1"/>
    </font>
    <font>
      <sz val="11"/>
      <name val="Arial"/>
      <charset val="1"/>
    </font>
    <font>
      <b/>
      <sz val="11"/>
      <color rgb="FFFFFFFF"/>
      <name val="Arial"/>
      <charset val="1"/>
    </font>
    <font>
      <i/>
      <sz val="10"/>
      <name val="Arial"/>
      <charset val="1"/>
    </font>
    <font>
      <b/>
      <sz val="10"/>
      <name val="Arial"/>
      <charset val="1"/>
    </font>
    <font>
      <sz val="10"/>
      <name val="Arial"/>
      <charset val="1"/>
    </font>
    <font>
      <b/>
      <sz val="10"/>
      <color rgb="FFFFFFFF"/>
      <name val="Arial"/>
      <charset val="1"/>
    </font>
    <font>
      <sz val="10"/>
      <name val="Arial"/>
      <family val="2"/>
    </font>
    <font>
      <sz val="10"/>
      <name val="Arial"/>
      <family val="2"/>
      <charset val="1"/>
    </font>
  </fonts>
  <fills count="5">
    <fill>
      <patternFill patternType="none"/>
    </fill>
    <fill>
      <patternFill patternType="gray125"/>
    </fill>
    <fill>
      <patternFill patternType="solid">
        <fgColor rgb="FFD9E2F3"/>
        <bgColor rgb="FFC6EFCE"/>
      </patternFill>
    </fill>
    <fill>
      <patternFill patternType="solid">
        <fgColor rgb="FFFFFF00"/>
        <bgColor rgb="FFFFFF00"/>
      </patternFill>
    </fill>
    <fill>
      <patternFill patternType="solid">
        <fgColor rgb="FF1F3864"/>
        <bgColor rgb="FF333333"/>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5">
    <xf numFmtId="0" fontId="0" fillId="0" borderId="0" xfId="0"/>
    <xf numFmtId="0" fontId="7" fillId="0" borderId="1" xfId="0" applyFont="1" applyBorder="1" applyAlignment="1">
      <alignment vertical="top" wrapText="1"/>
    </xf>
    <xf numFmtId="0" fontId="1" fillId="0" borderId="0" xfId="0" applyFont="1"/>
    <xf numFmtId="0" fontId="2" fillId="2" borderId="1" xfId="0" applyFont="1" applyFill="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4" fillId="4"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9" fontId="3" fillId="0" borderId="1" xfId="0" applyNumberFormat="1" applyFont="1" applyBorder="1" applyAlignment="1">
      <alignment horizontal="center"/>
    </xf>
    <xf numFmtId="0" fontId="2" fillId="2" borderId="1" xfId="0" applyFont="1" applyFill="1" applyBorder="1"/>
    <xf numFmtId="0" fontId="2" fillId="2" borderId="1" xfId="0" applyFont="1" applyFill="1" applyBorder="1" applyAlignment="1">
      <alignment horizontal="center"/>
    </xf>
    <xf numFmtId="9" fontId="2" fillId="2" borderId="1" xfId="0" applyNumberFormat="1" applyFont="1" applyFill="1" applyBorder="1" applyAlignment="1">
      <alignment horizontal="center"/>
    </xf>
    <xf numFmtId="0" fontId="5" fillId="0" borderId="0" xfId="0" applyFont="1"/>
    <xf numFmtId="0" fontId="6" fillId="2" borderId="1" xfId="0" applyFont="1" applyFill="1" applyBorder="1" applyAlignment="1">
      <alignment vertical="top" wrapText="1"/>
    </xf>
    <xf numFmtId="0" fontId="8" fillId="4" borderId="1" xfId="0" applyFont="1" applyFill="1" applyBorder="1" applyAlignment="1">
      <alignment horizontal="center" vertical="center" wrapText="1"/>
    </xf>
    <xf numFmtId="0" fontId="7" fillId="0" borderId="1" xfId="0" applyFont="1" applyBorder="1" applyAlignment="1">
      <alignment horizontal="center" vertical="top"/>
    </xf>
    <xf numFmtId="0" fontId="9" fillId="0" borderId="1" xfId="0" applyFont="1" applyBorder="1" applyAlignment="1">
      <alignment vertical="top" wrapText="1"/>
    </xf>
    <xf numFmtId="0" fontId="10" fillId="0" borderId="1" xfId="0" applyFont="1" applyBorder="1" applyAlignment="1">
      <alignment horizontal="center" vertical="top"/>
    </xf>
    <xf numFmtId="0" fontId="9" fillId="0" borderId="1" xfId="0" applyFont="1" applyBorder="1" applyAlignment="1">
      <alignment horizontal="center" vertical="top"/>
    </xf>
    <xf numFmtId="0" fontId="0" fillId="0" borderId="0" xfId="0" applyAlignment="1">
      <alignment wrapText="1"/>
    </xf>
    <xf numFmtId="0" fontId="9" fillId="3" borderId="1" xfId="0" applyFont="1" applyFill="1" applyBorder="1" applyAlignment="1">
      <alignment vertical="top" wrapText="1"/>
    </xf>
    <xf numFmtId="0" fontId="7" fillId="3" borderId="1" xfId="0" applyFont="1" applyFill="1" applyBorder="1" applyAlignment="1">
      <alignment vertical="top" wrapText="1"/>
    </xf>
    <xf numFmtId="0" fontId="7" fillId="0" borderId="1" xfId="0" applyFont="1" applyBorder="1" applyAlignment="1">
      <alignment vertical="top" wrapText="1"/>
    </xf>
    <xf numFmtId="14" fontId="9" fillId="3" borderId="1" xfId="0" applyNumberFormat="1" applyFont="1" applyFill="1" applyBorder="1" applyAlignment="1">
      <alignment vertical="top" wrapText="1"/>
    </xf>
  </cellXfs>
  <cellStyles count="1">
    <cellStyle name="Normal" xfId="0" builtinId="0"/>
  </cellStyles>
  <dxfs count="18">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Normal="100" workbookViewId="0"/>
  </sheetViews>
  <sheetFormatPr defaultColWidth="8.6640625" defaultRowHeight="14.4" x14ac:dyDescent="0.3"/>
  <cols>
    <col min="1" max="1" width="26" customWidth="1"/>
    <col min="2" max="2" width="95" customWidth="1"/>
  </cols>
  <sheetData>
    <row r="1" spans="1:2" ht="21" x14ac:dyDescent="0.4">
      <c r="A1" s="2" t="s">
        <v>0</v>
      </c>
    </row>
    <row r="3" spans="1:2" ht="34.5" customHeight="1" x14ac:dyDescent="0.3">
      <c r="A3" s="3" t="s">
        <v>1</v>
      </c>
      <c r="B3" s="4" t="s">
        <v>2</v>
      </c>
    </row>
    <row r="4" spans="1:2" ht="124.5" customHeight="1" x14ac:dyDescent="0.3">
      <c r="A4" s="3" t="s">
        <v>3</v>
      </c>
      <c r="B4" s="4" t="s">
        <v>4</v>
      </c>
    </row>
    <row r="5" spans="1:2" ht="19.5" customHeight="1" x14ac:dyDescent="0.3">
      <c r="A5" s="5" t="s">
        <v>5</v>
      </c>
      <c r="B5" s="4" t="s">
        <v>6</v>
      </c>
    </row>
    <row r="6" spans="1:2" ht="34.5" customHeight="1" x14ac:dyDescent="0.3">
      <c r="A6" s="3" t="s">
        <v>7</v>
      </c>
      <c r="B6" s="4" t="s">
        <v>8</v>
      </c>
    </row>
    <row r="7" spans="1:2" ht="34.5" customHeight="1" x14ac:dyDescent="0.3">
      <c r="A7" s="3" t="s">
        <v>9</v>
      </c>
      <c r="B7" s="4" t="s">
        <v>10</v>
      </c>
    </row>
    <row r="8" spans="1:2" ht="34.5" customHeight="1" x14ac:dyDescent="0.3">
      <c r="A8" s="3" t="s">
        <v>11</v>
      </c>
      <c r="B8" s="4" t="s">
        <v>12</v>
      </c>
    </row>
    <row r="9" spans="1:2" ht="34.5" customHeight="1" x14ac:dyDescent="0.3">
      <c r="A9" s="3" t="s">
        <v>13</v>
      </c>
      <c r="B9" s="4" t="s">
        <v>14</v>
      </c>
    </row>
    <row r="10" spans="1:2" ht="49.5" customHeight="1" x14ac:dyDescent="0.3">
      <c r="A10" s="3" t="s">
        <v>15</v>
      </c>
      <c r="B10" s="4" t="s">
        <v>16</v>
      </c>
    </row>
    <row r="11" spans="1:2" ht="19.5" customHeight="1" x14ac:dyDescent="0.3">
      <c r="A11" s="3" t="s">
        <v>17</v>
      </c>
      <c r="B11" s="4" t="s">
        <v>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zoomScaleNormal="100" workbookViewId="0">
      <selection activeCell="D13" sqref="D13"/>
    </sheetView>
  </sheetViews>
  <sheetFormatPr defaultColWidth="8.6640625" defaultRowHeight="14.4" x14ac:dyDescent="0.3"/>
  <cols>
    <col min="1" max="1" width="22" customWidth="1"/>
    <col min="2" max="7" width="12" customWidth="1"/>
  </cols>
  <sheetData>
    <row r="1" spans="1:7" x14ac:dyDescent="0.3">
      <c r="A1" s="6" t="s">
        <v>19</v>
      </c>
      <c r="B1" s="6" t="s">
        <v>20</v>
      </c>
      <c r="C1" s="6" t="s">
        <v>21</v>
      </c>
      <c r="D1" s="6" t="s">
        <v>22</v>
      </c>
      <c r="E1" s="6" t="s">
        <v>23</v>
      </c>
      <c r="F1" s="6" t="s">
        <v>24</v>
      </c>
      <c r="G1" s="6" t="s">
        <v>25</v>
      </c>
    </row>
    <row r="2" spans="1:7" x14ac:dyDescent="0.3">
      <c r="A2" s="7" t="s">
        <v>26</v>
      </c>
      <c r="B2" s="8">
        <f>COUNTA(Signup!A12:A59)</f>
        <v>7</v>
      </c>
      <c r="C2" s="8">
        <f>COUNTIF(Signup!F12:F59,"Pass")</f>
        <v>7</v>
      </c>
      <c r="D2" s="8">
        <f>COUNTIF(Signup!F12:F59,"Fail")</f>
        <v>0</v>
      </c>
      <c r="E2" s="8">
        <f>COUNTIF(Signup!F12:F59,"Blocked")</f>
        <v>0</v>
      </c>
      <c r="F2" s="8">
        <f>COUNTIF(Signup!F12:F59,"Not Run")</f>
        <v>0</v>
      </c>
      <c r="G2" s="9">
        <f t="shared" ref="G2:G8" si="0">IF(B2=0,"-",C2/B2)</f>
        <v>1</v>
      </c>
    </row>
    <row r="3" spans="1:7" x14ac:dyDescent="0.3">
      <c r="A3" s="7" t="s">
        <v>27</v>
      </c>
      <c r="B3" s="8">
        <f>COUNTA(Login!A12:A60)</f>
        <v>8</v>
      </c>
      <c r="C3" s="8">
        <f>COUNTIF(Login!F12:F60,"Pass")</f>
        <v>7</v>
      </c>
      <c r="D3" s="8">
        <f>COUNTIF(Login!F12:F60,"Fail")</f>
        <v>1</v>
      </c>
      <c r="E3" s="8">
        <f>COUNTIF(Login!F12:F60,"Blocked")</f>
        <v>0</v>
      </c>
      <c r="F3" s="8">
        <f>COUNTIF(Login!F12:F60,"Not Run")</f>
        <v>0</v>
      </c>
      <c r="G3" s="9">
        <f t="shared" si="0"/>
        <v>0.875</v>
      </c>
    </row>
    <row r="4" spans="1:7" x14ac:dyDescent="0.3">
      <c r="A4" s="7" t="s">
        <v>28</v>
      </c>
      <c r="B4" s="8">
        <f>COUNTA(Products_Search!A12:A60)</f>
        <v>5</v>
      </c>
      <c r="C4" s="8">
        <f>COUNTIF(Products_Search!F12:F60,"Pass")</f>
        <v>5</v>
      </c>
      <c r="D4" s="8">
        <f>COUNTIF(Products_Search!F12:F60,"Fail")</f>
        <v>0</v>
      </c>
      <c r="E4" s="8">
        <f>COUNTIF(Products_Search!F12:F60,"Blocked")</f>
        <v>0</v>
      </c>
      <c r="F4" s="8">
        <f>COUNTIF(Products_Search!F12:F60,"Not Run")</f>
        <v>0</v>
      </c>
      <c r="G4" s="9">
        <f t="shared" si="0"/>
        <v>1</v>
      </c>
    </row>
    <row r="5" spans="1:7" x14ac:dyDescent="0.3">
      <c r="A5" s="7" t="s">
        <v>29</v>
      </c>
      <c r="B5" s="8">
        <f>COUNTA(Cart!A12:A60)</f>
        <v>2</v>
      </c>
      <c r="C5" s="8">
        <f>COUNTIF(Cart!F12:F60,"Pass")</f>
        <v>2</v>
      </c>
      <c r="D5" s="8">
        <f>COUNTIF(Cart!F12:F60,"Fail")</f>
        <v>0</v>
      </c>
      <c r="E5" s="8">
        <f>COUNTIF(Cart!F12:F60,"Blocked")</f>
        <v>0</v>
      </c>
      <c r="F5" s="8">
        <f>COUNTIF(Cart!F12:F60,"Not Run")</f>
        <v>0</v>
      </c>
      <c r="G5" s="9">
        <f t="shared" si="0"/>
        <v>1</v>
      </c>
    </row>
    <row r="6" spans="1:7" x14ac:dyDescent="0.3">
      <c r="A6" s="7" t="s">
        <v>30</v>
      </c>
      <c r="B6" s="8">
        <f>COUNTA(Checkout!A12:A60)</f>
        <v>3</v>
      </c>
      <c r="C6" s="8">
        <f>COUNTIF(Checkout!F12:F60,"Pass")</f>
        <v>3</v>
      </c>
      <c r="D6" s="8">
        <f>COUNTIF(Checkout!F12:F60,"Fail")</f>
        <v>0</v>
      </c>
      <c r="E6" s="8">
        <f>COUNTIF(Checkout!F12:F60,"Blocked")</f>
        <v>0</v>
      </c>
      <c r="F6" s="8">
        <f>COUNTIF(Checkout!F12:F60,"Not Run")</f>
        <v>0</v>
      </c>
      <c r="G6" s="9">
        <f t="shared" si="0"/>
        <v>1</v>
      </c>
    </row>
    <row r="7" spans="1:7" x14ac:dyDescent="0.3">
      <c r="A7" s="7" t="s">
        <v>31</v>
      </c>
      <c r="B7" s="8">
        <f>COUNTA(Contact_Us!A12:A60)</f>
        <v>9</v>
      </c>
      <c r="C7" s="8">
        <f>COUNTIF(Contact_Us!F12:F60,"Pass")</f>
        <v>7</v>
      </c>
      <c r="D7" s="8">
        <f>COUNTIF(Contact_Us!F12:F60,"Fail")</f>
        <v>2</v>
      </c>
      <c r="E7" s="8">
        <f>COUNTIF(Contact_Us!F12:F60,"Blocked")</f>
        <v>0</v>
      </c>
      <c r="F7" s="8">
        <f>COUNTIF(Contact_Us!F12:F60,"Not Run")</f>
        <v>0</v>
      </c>
      <c r="G7" s="9">
        <f t="shared" si="0"/>
        <v>0.77777777777777779</v>
      </c>
    </row>
    <row r="8" spans="1:7" x14ac:dyDescent="0.3">
      <c r="A8" s="10" t="s">
        <v>32</v>
      </c>
      <c r="B8" s="11">
        <f>SUM(B2:B7)</f>
        <v>34</v>
      </c>
      <c r="C8" s="11">
        <f>SUM(C2:C7)</f>
        <v>31</v>
      </c>
      <c r="D8" s="11">
        <f>SUM(D2:D7)</f>
        <v>3</v>
      </c>
      <c r="E8" s="11">
        <f>SUM(E2:E7)</f>
        <v>0</v>
      </c>
      <c r="F8" s="11">
        <f>SUM(F2:F7)</f>
        <v>0</v>
      </c>
      <c r="G8" s="12">
        <f t="shared" si="0"/>
        <v>0.91176470588235292</v>
      </c>
    </row>
    <row r="10" spans="1:7" x14ac:dyDescent="0.3">
      <c r="A10" s="13" t="s">
        <v>33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
  <sheetViews>
    <sheetView topLeftCell="A12" zoomScaleNormal="100" workbookViewId="0">
      <selection activeCell="A18" sqref="A18"/>
    </sheetView>
  </sheetViews>
  <sheetFormatPr defaultColWidth="8.6640625" defaultRowHeight="14.4" x14ac:dyDescent="0.3"/>
  <cols>
    <col min="1" max="1" width="25.77734375" customWidth="1"/>
    <col min="2" max="2" width="42" customWidth="1"/>
    <col min="3" max="3" width="30" customWidth="1"/>
    <col min="4" max="4" width="38" customWidth="1"/>
    <col min="5" max="5" width="28" customWidth="1"/>
    <col min="6" max="6" width="11" customWidth="1"/>
    <col min="7" max="7" width="10" customWidth="1"/>
    <col min="8" max="8" width="11" customWidth="1"/>
    <col min="9" max="9" width="24" customWidth="1"/>
  </cols>
  <sheetData>
    <row r="1" spans="1:9" ht="19.5" customHeight="1" x14ac:dyDescent="0.3">
      <c r="A1" s="14" t="s">
        <v>34</v>
      </c>
      <c r="B1" s="23" t="s">
        <v>26</v>
      </c>
      <c r="C1" s="23"/>
      <c r="D1" s="23"/>
      <c r="E1" s="23"/>
      <c r="F1" s="23"/>
      <c r="G1" s="23"/>
      <c r="H1" s="23"/>
      <c r="I1" s="23"/>
    </row>
    <row r="2" spans="1:9" ht="19.5" customHeight="1" x14ac:dyDescent="0.3">
      <c r="A2" s="14" t="s">
        <v>35</v>
      </c>
      <c r="B2" s="23" t="s">
        <v>36</v>
      </c>
      <c r="C2" s="23"/>
      <c r="D2" s="23"/>
      <c r="E2" s="23"/>
      <c r="F2" s="23"/>
      <c r="G2" s="23"/>
      <c r="H2" s="23"/>
      <c r="I2" s="23"/>
    </row>
    <row r="3" spans="1:9" ht="19.5" customHeight="1" x14ac:dyDescent="0.3">
      <c r="A3" s="14" t="s">
        <v>37</v>
      </c>
      <c r="B3" s="23" t="s">
        <v>38</v>
      </c>
      <c r="C3" s="23"/>
      <c r="D3" s="23"/>
      <c r="E3" s="23"/>
      <c r="F3" s="23"/>
      <c r="G3" s="23"/>
      <c r="H3" s="23"/>
      <c r="I3" s="23"/>
    </row>
    <row r="4" spans="1:9" ht="51.75" customHeight="1" x14ac:dyDescent="0.3">
      <c r="A4" s="14" t="s">
        <v>39</v>
      </c>
      <c r="B4" s="23" t="s">
        <v>40</v>
      </c>
      <c r="C4" s="23"/>
      <c r="D4" s="23"/>
      <c r="E4" s="23"/>
      <c r="F4" s="23"/>
      <c r="G4" s="23"/>
      <c r="H4" s="23"/>
      <c r="I4" s="23"/>
    </row>
    <row r="5" spans="1:9" ht="19.5" customHeight="1" x14ac:dyDescent="0.3">
      <c r="A5" s="14" t="s">
        <v>41</v>
      </c>
      <c r="B5" s="21" t="s">
        <v>159</v>
      </c>
      <c r="C5" s="22"/>
      <c r="D5" s="22"/>
      <c r="E5" s="22"/>
      <c r="F5" s="22"/>
      <c r="G5" s="22"/>
      <c r="H5" s="22"/>
      <c r="I5" s="22"/>
    </row>
    <row r="6" spans="1:9" ht="19.5" customHeight="1" x14ac:dyDescent="0.3">
      <c r="A6" s="14" t="s">
        <v>42</v>
      </c>
      <c r="B6" s="21" t="s">
        <v>160</v>
      </c>
      <c r="C6" s="22"/>
      <c r="D6" s="22"/>
      <c r="E6" s="22"/>
      <c r="F6" s="22"/>
      <c r="G6" s="22"/>
      <c r="H6" s="22"/>
      <c r="I6" s="22"/>
    </row>
    <row r="7" spans="1:9" ht="19.5" customHeight="1" x14ac:dyDescent="0.3">
      <c r="A7" s="14" t="s">
        <v>43</v>
      </c>
      <c r="B7" s="23" t="s">
        <v>44</v>
      </c>
      <c r="C7" s="23"/>
      <c r="D7" s="23"/>
      <c r="E7" s="23"/>
      <c r="F7" s="23"/>
      <c r="G7" s="23"/>
      <c r="H7" s="23"/>
      <c r="I7" s="23"/>
    </row>
    <row r="8" spans="1:9" ht="19.5" customHeight="1" x14ac:dyDescent="0.3">
      <c r="A8" s="14" t="s">
        <v>45</v>
      </c>
      <c r="B8" s="21" t="s">
        <v>151</v>
      </c>
      <c r="C8" s="22"/>
      <c r="D8" s="22"/>
      <c r="E8" s="22"/>
      <c r="F8" s="22"/>
      <c r="G8" s="22"/>
      <c r="H8" s="22"/>
      <c r="I8" s="22"/>
    </row>
    <row r="9" spans="1:9" ht="19.5" customHeight="1" x14ac:dyDescent="0.3">
      <c r="A9" s="14" t="s">
        <v>46</v>
      </c>
      <c r="B9" s="24" t="s">
        <v>213</v>
      </c>
      <c r="C9" s="22"/>
      <c r="D9" s="22"/>
      <c r="E9" s="22"/>
      <c r="F9" s="22"/>
      <c r="G9" s="22"/>
      <c r="H9" s="22"/>
      <c r="I9" s="22"/>
    </row>
    <row r="11" spans="1:9" ht="24" customHeight="1" x14ac:dyDescent="0.3">
      <c r="A11" s="15" t="s">
        <v>47</v>
      </c>
      <c r="B11" s="15" t="s">
        <v>48</v>
      </c>
      <c r="C11" s="15" t="s">
        <v>49</v>
      </c>
      <c r="D11" s="15" t="s">
        <v>50</v>
      </c>
      <c r="E11" s="15" t="s">
        <v>51</v>
      </c>
      <c r="F11" s="15" t="s">
        <v>52</v>
      </c>
      <c r="G11" s="15" t="s">
        <v>53</v>
      </c>
      <c r="H11" s="15" t="s">
        <v>54</v>
      </c>
      <c r="I11" s="15" t="s">
        <v>55</v>
      </c>
    </row>
    <row r="12" spans="1:9" ht="114.6" customHeight="1" x14ac:dyDescent="0.3">
      <c r="A12" s="1" t="s">
        <v>56</v>
      </c>
      <c r="B12" s="17" t="s">
        <v>57</v>
      </c>
      <c r="C12" s="17" t="s">
        <v>153</v>
      </c>
      <c r="D12" s="1" t="s">
        <v>58</v>
      </c>
      <c r="E12" s="17" t="s">
        <v>154</v>
      </c>
      <c r="F12" s="16" t="s">
        <v>21</v>
      </c>
      <c r="G12" s="16" t="s">
        <v>59</v>
      </c>
      <c r="H12" s="1"/>
      <c r="I12" s="1"/>
    </row>
    <row r="13" spans="1:9" ht="61.5" customHeight="1" x14ac:dyDescent="0.3">
      <c r="A13" s="17" t="s">
        <v>60</v>
      </c>
      <c r="B13" s="1" t="s">
        <v>65</v>
      </c>
      <c r="C13" s="17" t="s">
        <v>155</v>
      </c>
      <c r="D13" s="17" t="s">
        <v>66</v>
      </c>
      <c r="E13" s="17" t="s">
        <v>66</v>
      </c>
      <c r="F13" s="16" t="s">
        <v>21</v>
      </c>
      <c r="G13" s="16" t="s">
        <v>59</v>
      </c>
      <c r="H13" s="1"/>
      <c r="I13" s="1"/>
    </row>
    <row r="14" spans="1:9" ht="47.25" customHeight="1" x14ac:dyDescent="0.3">
      <c r="A14" s="17" t="s">
        <v>64</v>
      </c>
      <c r="B14" s="1" t="s">
        <v>68</v>
      </c>
      <c r="C14" s="1" t="s">
        <v>69</v>
      </c>
      <c r="D14" s="17" t="s">
        <v>70</v>
      </c>
      <c r="E14" s="17" t="s">
        <v>70</v>
      </c>
      <c r="F14" s="16" t="s">
        <v>21</v>
      </c>
      <c r="G14" s="16" t="s">
        <v>63</v>
      </c>
      <c r="H14" s="1"/>
      <c r="I14" s="1"/>
    </row>
    <row r="15" spans="1:9" ht="47.25" customHeight="1" x14ac:dyDescent="0.3">
      <c r="A15" s="17" t="s">
        <v>67</v>
      </c>
      <c r="B15" s="1" t="s">
        <v>72</v>
      </c>
      <c r="C15" s="17" t="s">
        <v>156</v>
      </c>
      <c r="D15" s="17" t="s">
        <v>73</v>
      </c>
      <c r="E15" s="17" t="s">
        <v>73</v>
      </c>
      <c r="F15" s="16" t="s">
        <v>21</v>
      </c>
      <c r="G15" s="16" t="s">
        <v>63</v>
      </c>
      <c r="H15" s="1"/>
      <c r="I15" s="1"/>
    </row>
    <row r="16" spans="1:9" ht="76.5" customHeight="1" x14ac:dyDescent="0.3">
      <c r="A16" s="17" t="s">
        <v>71</v>
      </c>
      <c r="B16" s="1" t="s">
        <v>75</v>
      </c>
      <c r="C16" s="1" t="s">
        <v>76</v>
      </c>
      <c r="D16" s="17" t="s">
        <v>77</v>
      </c>
      <c r="E16" s="17" t="s">
        <v>77</v>
      </c>
      <c r="F16" s="16" t="s">
        <v>21</v>
      </c>
      <c r="G16" s="16" t="s">
        <v>59</v>
      </c>
      <c r="H16" s="1"/>
      <c r="I16" s="1"/>
    </row>
    <row r="17" spans="1:9" ht="47.25" customHeight="1" x14ac:dyDescent="0.3">
      <c r="A17" s="17" t="s">
        <v>74</v>
      </c>
      <c r="B17" s="1" t="s">
        <v>79</v>
      </c>
      <c r="C17" s="17" t="s">
        <v>157</v>
      </c>
      <c r="D17" s="17" t="s">
        <v>80</v>
      </c>
      <c r="E17" s="17" t="s">
        <v>80</v>
      </c>
      <c r="F17" s="16" t="s">
        <v>21</v>
      </c>
      <c r="G17" s="16" t="s">
        <v>81</v>
      </c>
      <c r="H17" s="1"/>
      <c r="I17" s="1"/>
    </row>
    <row r="18" spans="1:9" ht="47.25" customHeight="1" x14ac:dyDescent="0.3">
      <c r="A18" s="17" t="s">
        <v>78</v>
      </c>
      <c r="B18" s="1" t="s">
        <v>82</v>
      </c>
      <c r="C18" s="1" t="s">
        <v>61</v>
      </c>
      <c r="D18" s="1" t="s">
        <v>83</v>
      </c>
      <c r="E18" s="17" t="s">
        <v>158</v>
      </c>
      <c r="F18" s="16" t="s">
        <v>21</v>
      </c>
      <c r="G18" s="16" t="s">
        <v>63</v>
      </c>
      <c r="H18" s="1"/>
      <c r="I18" s="1"/>
    </row>
    <row r="19" spans="1:9" x14ac:dyDescent="0.3">
      <c r="A19" s="1"/>
      <c r="B19" s="1"/>
      <c r="C19" s="1"/>
      <c r="D19" s="1"/>
      <c r="E19" s="1"/>
      <c r="F19" s="16"/>
      <c r="G19" s="16"/>
      <c r="H19" s="1"/>
      <c r="I19" s="1"/>
    </row>
    <row r="20" spans="1:9" x14ac:dyDescent="0.3">
      <c r="A20" s="1"/>
      <c r="B20" s="1"/>
      <c r="C20" s="1"/>
      <c r="D20" s="1"/>
      <c r="E20" s="1"/>
      <c r="F20" s="16"/>
      <c r="G20" s="16"/>
      <c r="H20" s="1"/>
      <c r="I20" s="1"/>
    </row>
    <row r="21" spans="1:9" x14ac:dyDescent="0.3">
      <c r="A21" s="1"/>
      <c r="B21" s="1"/>
      <c r="C21" s="1"/>
      <c r="D21" s="1"/>
      <c r="E21" s="1"/>
      <c r="F21" s="16"/>
      <c r="G21" s="16"/>
      <c r="H21" s="1"/>
      <c r="I21" s="1"/>
    </row>
    <row r="22" spans="1:9" x14ac:dyDescent="0.3">
      <c r="A22" s="1"/>
      <c r="B22" s="1"/>
      <c r="C22" s="1"/>
      <c r="D22" s="1"/>
      <c r="E22" s="1"/>
      <c r="F22" s="16"/>
      <c r="G22" s="16"/>
      <c r="H22" s="1"/>
      <c r="I22" s="1"/>
    </row>
    <row r="23" spans="1:9" x14ac:dyDescent="0.3">
      <c r="A23" s="1"/>
      <c r="B23" s="1"/>
      <c r="C23" s="1"/>
      <c r="D23" s="1"/>
      <c r="E23" s="1"/>
      <c r="F23" s="16"/>
      <c r="G23" s="16"/>
      <c r="H23" s="1"/>
      <c r="I23" s="1"/>
    </row>
    <row r="24" spans="1:9" x14ac:dyDescent="0.3">
      <c r="A24" s="1"/>
      <c r="B24" s="1"/>
      <c r="C24" s="1"/>
      <c r="D24" s="1"/>
      <c r="E24" s="1"/>
      <c r="F24" s="16"/>
      <c r="G24" s="16"/>
      <c r="H24" s="1"/>
      <c r="I24" s="1"/>
    </row>
    <row r="25" spans="1:9" x14ac:dyDescent="0.3">
      <c r="A25" s="1"/>
      <c r="B25" s="1"/>
      <c r="C25" s="1"/>
      <c r="D25" s="1"/>
      <c r="E25" s="1"/>
      <c r="F25" s="16"/>
      <c r="G25" s="16"/>
      <c r="H25" s="1"/>
      <c r="I25" s="1"/>
    </row>
  </sheetData>
  <mergeCells count="9">
    <mergeCell ref="B6:I6"/>
    <mergeCell ref="B7:I7"/>
    <mergeCell ref="B8:I8"/>
    <mergeCell ref="B9:I9"/>
    <mergeCell ref="B1:I1"/>
    <mergeCell ref="B2:I2"/>
    <mergeCell ref="B3:I3"/>
    <mergeCell ref="B4:I4"/>
    <mergeCell ref="B5:I5"/>
  </mergeCells>
  <conditionalFormatting sqref="F12:F59">
    <cfRule type="cellIs" dxfId="17" priority="2" operator="equal">
      <formula>"Pass"</formula>
    </cfRule>
    <cfRule type="cellIs" dxfId="16" priority="3" operator="equal">
      <formula>"Fail"</formula>
    </cfRule>
    <cfRule type="cellIs" dxfId="15" priority="4" operator="equal">
      <formula>"Blocked"</formula>
    </cfRule>
  </conditionalFormatting>
  <dataValidations count="2">
    <dataValidation type="list" allowBlank="1" sqref="F12:F59" xr:uid="{00000000-0002-0000-0200-000000000000}">
      <formula1>"Pass,Fail,Blocked,Not Run"</formula1>
      <formula2>0</formula2>
    </dataValidation>
    <dataValidation type="list" allowBlank="1" sqref="G12:G59" xr:uid="{00000000-0002-0000-02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tabSelected="1" topLeftCell="A10" zoomScaleNormal="100" workbookViewId="0">
      <selection activeCell="H14" sqref="H14"/>
    </sheetView>
  </sheetViews>
  <sheetFormatPr defaultColWidth="8.6640625" defaultRowHeight="14.4" x14ac:dyDescent="0.3"/>
  <cols>
    <col min="1" max="1" width="15" customWidth="1"/>
    <col min="2" max="2" width="42" customWidth="1"/>
    <col min="3" max="3" width="30" customWidth="1"/>
    <col min="4" max="4" width="38" customWidth="1"/>
    <col min="5" max="5" width="28" customWidth="1"/>
    <col min="6" max="6" width="11" customWidth="1"/>
    <col min="7" max="7" width="10" customWidth="1"/>
    <col min="8" max="8" width="14.109375" customWidth="1"/>
    <col min="9" max="9" width="24" customWidth="1"/>
  </cols>
  <sheetData>
    <row r="1" spans="1:9" ht="19.5" customHeight="1" x14ac:dyDescent="0.3">
      <c r="A1" s="14" t="s">
        <v>34</v>
      </c>
      <c r="B1" s="23" t="s">
        <v>27</v>
      </c>
      <c r="C1" s="23"/>
      <c r="D1" s="23"/>
      <c r="E1" s="23"/>
      <c r="F1" s="23"/>
      <c r="G1" s="23"/>
      <c r="H1" s="23"/>
      <c r="I1" s="23"/>
    </row>
    <row r="2" spans="1:9" ht="19.5" customHeight="1" x14ac:dyDescent="0.3">
      <c r="A2" s="14" t="s">
        <v>35</v>
      </c>
      <c r="B2" s="23" t="s">
        <v>84</v>
      </c>
      <c r="C2" s="23"/>
      <c r="D2" s="23"/>
      <c r="E2" s="23"/>
      <c r="F2" s="23"/>
      <c r="G2" s="23"/>
      <c r="H2" s="23"/>
      <c r="I2" s="23"/>
    </row>
    <row r="3" spans="1:9" ht="19.5" customHeight="1" x14ac:dyDescent="0.3">
      <c r="A3" s="14" t="s">
        <v>37</v>
      </c>
      <c r="B3" s="23" t="s">
        <v>85</v>
      </c>
      <c r="C3" s="23"/>
      <c r="D3" s="23"/>
      <c r="E3" s="23"/>
      <c r="F3" s="23"/>
      <c r="G3" s="23"/>
      <c r="H3" s="23"/>
      <c r="I3" s="23"/>
    </row>
    <row r="4" spans="1:9" ht="51.75" customHeight="1" x14ac:dyDescent="0.3">
      <c r="A4" s="14" t="s">
        <v>39</v>
      </c>
      <c r="B4" s="23" t="s">
        <v>40</v>
      </c>
      <c r="C4" s="23"/>
      <c r="D4" s="23"/>
      <c r="E4" s="23"/>
      <c r="F4" s="23"/>
      <c r="G4" s="23"/>
      <c r="H4" s="23"/>
      <c r="I4" s="23"/>
    </row>
    <row r="5" spans="1:9" ht="19.5" customHeight="1" x14ac:dyDescent="0.3">
      <c r="A5" s="14" t="s">
        <v>41</v>
      </c>
      <c r="B5" s="21" t="s">
        <v>159</v>
      </c>
      <c r="C5" s="22"/>
      <c r="D5" s="22"/>
      <c r="E5" s="22"/>
      <c r="F5" s="22"/>
      <c r="G5" s="22"/>
      <c r="H5" s="22"/>
      <c r="I5" s="22"/>
    </row>
    <row r="6" spans="1:9" ht="19.5" customHeight="1" x14ac:dyDescent="0.3">
      <c r="A6" s="14" t="s">
        <v>42</v>
      </c>
      <c r="B6" s="21" t="s">
        <v>160</v>
      </c>
      <c r="C6" s="22"/>
      <c r="D6" s="22"/>
      <c r="E6" s="22"/>
      <c r="F6" s="22"/>
      <c r="G6" s="22"/>
      <c r="H6" s="22"/>
      <c r="I6" s="22"/>
    </row>
    <row r="7" spans="1:9" ht="19.5" customHeight="1" x14ac:dyDescent="0.3">
      <c r="A7" s="14" t="s">
        <v>43</v>
      </c>
      <c r="B7" s="23" t="s">
        <v>44</v>
      </c>
      <c r="C7" s="23"/>
      <c r="D7" s="23"/>
      <c r="E7" s="23"/>
      <c r="F7" s="23"/>
      <c r="G7" s="23"/>
      <c r="H7" s="23"/>
      <c r="I7" s="23"/>
    </row>
    <row r="8" spans="1:9" ht="19.5" customHeight="1" x14ac:dyDescent="0.3">
      <c r="A8" s="14" t="s">
        <v>45</v>
      </c>
      <c r="B8" s="21" t="s">
        <v>151</v>
      </c>
      <c r="C8" s="22"/>
      <c r="D8" s="22"/>
      <c r="E8" s="22"/>
      <c r="F8" s="22"/>
      <c r="G8" s="22"/>
      <c r="H8" s="22"/>
      <c r="I8" s="22"/>
    </row>
    <row r="9" spans="1:9" ht="19.5" customHeight="1" x14ac:dyDescent="0.3">
      <c r="A9" s="14" t="s">
        <v>46</v>
      </c>
      <c r="B9" s="21" t="s">
        <v>152</v>
      </c>
      <c r="C9" s="22"/>
      <c r="D9" s="22"/>
      <c r="E9" s="22"/>
      <c r="F9" s="22"/>
      <c r="G9" s="22"/>
      <c r="H9" s="22"/>
      <c r="I9" s="22"/>
    </row>
    <row r="11" spans="1:9" ht="24" customHeight="1" x14ac:dyDescent="0.3">
      <c r="A11" s="15" t="s">
        <v>47</v>
      </c>
      <c r="B11" s="15" t="s">
        <v>48</v>
      </c>
      <c r="C11" s="15" t="s">
        <v>49</v>
      </c>
      <c r="D11" s="15" t="s">
        <v>50</v>
      </c>
      <c r="E11" s="15" t="s">
        <v>51</v>
      </c>
      <c r="F11" s="15" t="s">
        <v>52</v>
      </c>
      <c r="G11" s="15" t="s">
        <v>53</v>
      </c>
      <c r="H11" s="15" t="s">
        <v>54</v>
      </c>
      <c r="I11" s="15" t="s">
        <v>55</v>
      </c>
    </row>
    <row r="12" spans="1:9" ht="76.5" customHeight="1" x14ac:dyDescent="0.3">
      <c r="A12" s="1" t="s">
        <v>86</v>
      </c>
      <c r="B12" s="1" t="s">
        <v>87</v>
      </c>
      <c r="C12" s="17" t="s">
        <v>161</v>
      </c>
      <c r="D12" s="1" t="s">
        <v>62</v>
      </c>
      <c r="E12" s="17" t="s">
        <v>162</v>
      </c>
      <c r="F12" s="16" t="s">
        <v>21</v>
      </c>
      <c r="G12" s="16" t="s">
        <v>59</v>
      </c>
      <c r="H12" s="1"/>
      <c r="I12" s="1"/>
    </row>
    <row r="13" spans="1:9" ht="61.5" customHeight="1" x14ac:dyDescent="0.3">
      <c r="A13" s="1" t="s">
        <v>88</v>
      </c>
      <c r="B13" s="1" t="s">
        <v>89</v>
      </c>
      <c r="C13" s="17" t="s">
        <v>163</v>
      </c>
      <c r="D13" s="1" t="s">
        <v>90</v>
      </c>
      <c r="E13" s="17" t="s">
        <v>164</v>
      </c>
      <c r="F13" s="16" t="s">
        <v>21</v>
      </c>
      <c r="G13" s="16" t="s">
        <v>59</v>
      </c>
      <c r="H13" s="1"/>
      <c r="I13" s="1"/>
    </row>
    <row r="14" spans="1:9" ht="61.5" customHeight="1" x14ac:dyDescent="0.3">
      <c r="A14" s="17" t="s">
        <v>91</v>
      </c>
      <c r="B14" s="17" t="s">
        <v>92</v>
      </c>
      <c r="C14" s="17" t="s">
        <v>165</v>
      </c>
      <c r="D14" s="1" t="s">
        <v>93</v>
      </c>
      <c r="E14" s="17" t="s">
        <v>164</v>
      </c>
      <c r="F14" s="16" t="s">
        <v>22</v>
      </c>
      <c r="G14" s="16" t="s">
        <v>59</v>
      </c>
      <c r="H14" s="17" t="s">
        <v>216</v>
      </c>
      <c r="I14" s="1"/>
    </row>
    <row r="15" spans="1:9" ht="47.25" customHeight="1" x14ac:dyDescent="0.3">
      <c r="A15" s="1" t="s">
        <v>94</v>
      </c>
      <c r="B15" s="1" t="s">
        <v>95</v>
      </c>
      <c r="C15" s="1" t="s">
        <v>96</v>
      </c>
      <c r="D15" s="17" t="s">
        <v>97</v>
      </c>
      <c r="E15" s="17" t="s">
        <v>97</v>
      </c>
      <c r="F15" s="16" t="s">
        <v>21</v>
      </c>
      <c r="G15" s="16" t="s">
        <v>63</v>
      </c>
      <c r="H15" s="1"/>
      <c r="I15" s="1"/>
    </row>
    <row r="16" spans="1:9" ht="47.25" customHeight="1" x14ac:dyDescent="0.3">
      <c r="A16" s="1" t="s">
        <v>98</v>
      </c>
      <c r="B16" s="1" t="s">
        <v>99</v>
      </c>
      <c r="C16" s="17" t="s">
        <v>166</v>
      </c>
      <c r="D16" s="17" t="s">
        <v>73</v>
      </c>
      <c r="E16" s="17" t="s">
        <v>73</v>
      </c>
      <c r="F16" s="16" t="s">
        <v>21</v>
      </c>
      <c r="G16" s="16" t="s">
        <v>63</v>
      </c>
      <c r="H16" s="1"/>
      <c r="I16" s="1"/>
    </row>
    <row r="17" spans="1:9" ht="33" customHeight="1" x14ac:dyDescent="0.3">
      <c r="A17" s="17" t="s">
        <v>100</v>
      </c>
      <c r="B17" s="1" t="s">
        <v>101</v>
      </c>
      <c r="C17" s="17" t="s">
        <v>157</v>
      </c>
      <c r="D17" s="17" t="s">
        <v>80</v>
      </c>
      <c r="E17" s="17" t="s">
        <v>167</v>
      </c>
      <c r="F17" s="16" t="s">
        <v>21</v>
      </c>
      <c r="G17" s="16" t="s">
        <v>81</v>
      </c>
      <c r="H17" s="1"/>
      <c r="I17" s="1"/>
    </row>
    <row r="18" spans="1:9" ht="33" customHeight="1" x14ac:dyDescent="0.3">
      <c r="A18" s="1" t="s">
        <v>102</v>
      </c>
      <c r="B18" s="1" t="s">
        <v>103</v>
      </c>
      <c r="C18" s="1" t="s">
        <v>104</v>
      </c>
      <c r="D18" s="17" t="s">
        <v>105</v>
      </c>
      <c r="E18" s="17" t="s">
        <v>105</v>
      </c>
      <c r="F18" s="19" t="s">
        <v>21</v>
      </c>
      <c r="G18" s="16" t="s">
        <v>59</v>
      </c>
      <c r="H18" s="1"/>
      <c r="I18" s="1"/>
    </row>
    <row r="19" spans="1:9" ht="47.25" customHeight="1" x14ac:dyDescent="0.3">
      <c r="A19" s="1" t="s">
        <v>106</v>
      </c>
      <c r="B19" s="1" t="s">
        <v>107</v>
      </c>
      <c r="C19" s="1" t="s">
        <v>104</v>
      </c>
      <c r="D19" s="17" t="s">
        <v>108</v>
      </c>
      <c r="E19" s="17" t="s">
        <v>108</v>
      </c>
      <c r="F19" s="16" t="s">
        <v>21</v>
      </c>
      <c r="G19" s="16" t="s">
        <v>63</v>
      </c>
      <c r="H19" s="1"/>
      <c r="I19" s="1"/>
    </row>
    <row r="20" spans="1:9" x14ac:dyDescent="0.3">
      <c r="A20" s="1"/>
      <c r="B20" s="1"/>
      <c r="C20" s="1"/>
      <c r="D20" s="1"/>
      <c r="E20" s="1"/>
      <c r="F20" s="16"/>
      <c r="G20" s="16"/>
      <c r="H20" s="1"/>
      <c r="I20" s="1"/>
    </row>
    <row r="21" spans="1:9" x14ac:dyDescent="0.3">
      <c r="A21" s="1"/>
      <c r="B21" s="1"/>
      <c r="C21" s="1"/>
      <c r="D21" s="1"/>
      <c r="E21" s="1"/>
      <c r="F21" s="16"/>
      <c r="G21" s="16"/>
      <c r="H21" s="1"/>
      <c r="I21" s="1"/>
    </row>
    <row r="22" spans="1:9" x14ac:dyDescent="0.3">
      <c r="A22" s="1"/>
      <c r="B22" s="1"/>
      <c r="C22" s="1"/>
      <c r="D22" s="1"/>
      <c r="E22" s="1"/>
      <c r="F22" s="16"/>
      <c r="G22" s="16"/>
      <c r="H22" s="1"/>
      <c r="I22" s="1"/>
    </row>
    <row r="23" spans="1:9" x14ac:dyDescent="0.3">
      <c r="A23" s="1"/>
      <c r="B23" s="1"/>
      <c r="C23" s="1"/>
      <c r="D23" s="1"/>
      <c r="E23" s="1"/>
      <c r="F23" s="16"/>
      <c r="G23" s="16"/>
      <c r="H23" s="1"/>
      <c r="I23" s="1"/>
    </row>
    <row r="24" spans="1:9" x14ac:dyDescent="0.3">
      <c r="A24" s="1"/>
      <c r="B24" s="1"/>
      <c r="C24" s="1"/>
      <c r="D24" s="1"/>
      <c r="E24" s="1"/>
      <c r="F24" s="16"/>
      <c r="G24" s="16"/>
      <c r="H24" s="1"/>
      <c r="I24" s="1"/>
    </row>
    <row r="25" spans="1:9" x14ac:dyDescent="0.3">
      <c r="A25" s="1"/>
      <c r="B25" s="1"/>
      <c r="C25" s="1"/>
      <c r="D25" s="1"/>
      <c r="E25" s="1"/>
      <c r="F25" s="16"/>
      <c r="G25" s="16"/>
      <c r="H25" s="1"/>
      <c r="I25" s="1"/>
    </row>
    <row r="26" spans="1:9" x14ac:dyDescent="0.3">
      <c r="A26" s="1"/>
      <c r="B26" s="1"/>
      <c r="C26" s="1"/>
      <c r="D26" s="1"/>
      <c r="E26" s="1"/>
      <c r="F26" s="16"/>
      <c r="G26" s="16"/>
      <c r="H26" s="1"/>
      <c r="I26" s="1"/>
    </row>
  </sheetData>
  <mergeCells count="9">
    <mergeCell ref="B6:I6"/>
    <mergeCell ref="B7:I7"/>
    <mergeCell ref="B8:I8"/>
    <mergeCell ref="B9:I9"/>
    <mergeCell ref="B1:I1"/>
    <mergeCell ref="B2:I2"/>
    <mergeCell ref="B3:I3"/>
    <mergeCell ref="B4:I4"/>
    <mergeCell ref="B5:I5"/>
  </mergeCells>
  <conditionalFormatting sqref="F12:F60">
    <cfRule type="cellIs" dxfId="14" priority="2" operator="equal">
      <formula>"Pass"</formula>
    </cfRule>
    <cfRule type="cellIs" dxfId="13" priority="3" operator="equal">
      <formula>"Fail"</formula>
    </cfRule>
    <cfRule type="cellIs" dxfId="12" priority="4" operator="equal">
      <formula>"Blocked"</formula>
    </cfRule>
  </conditionalFormatting>
  <dataValidations count="2">
    <dataValidation type="list" allowBlank="1" sqref="F12:F60" xr:uid="{00000000-0002-0000-0300-000000000000}">
      <formula1>"Pass,Fail,Blocked,Not Run"</formula1>
      <formula2>0</formula2>
    </dataValidation>
    <dataValidation type="list" allowBlank="1" sqref="G12:G60" xr:uid="{00000000-0002-0000-03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6"/>
  <sheetViews>
    <sheetView topLeftCell="A12" zoomScaleNormal="100" workbookViewId="0">
      <selection activeCell="B16" sqref="B16"/>
    </sheetView>
  </sheetViews>
  <sheetFormatPr defaultColWidth="8.6640625" defaultRowHeight="14.4" x14ac:dyDescent="0.3"/>
  <cols>
    <col min="1" max="1" width="17" customWidth="1"/>
    <col min="2" max="2" width="42" customWidth="1"/>
    <col min="3" max="3" width="30" customWidth="1"/>
    <col min="4" max="4" width="38" customWidth="1"/>
    <col min="5" max="5" width="28" customWidth="1"/>
    <col min="6" max="6" width="11" customWidth="1"/>
    <col min="7" max="7" width="10" customWidth="1"/>
    <col min="8" max="8" width="11" customWidth="1"/>
    <col min="9" max="9" width="24" customWidth="1"/>
  </cols>
  <sheetData>
    <row r="1" spans="1:9" ht="19.5" customHeight="1" x14ac:dyDescent="0.3">
      <c r="A1" s="14" t="s">
        <v>34</v>
      </c>
      <c r="B1" s="23" t="s">
        <v>109</v>
      </c>
      <c r="C1" s="23"/>
      <c r="D1" s="23"/>
      <c r="E1" s="23"/>
      <c r="F1" s="23"/>
      <c r="G1" s="23"/>
      <c r="H1" s="23"/>
      <c r="I1" s="23"/>
    </row>
    <row r="2" spans="1:9" ht="19.5" customHeight="1" x14ac:dyDescent="0.3">
      <c r="A2" s="14" t="s">
        <v>35</v>
      </c>
      <c r="B2" s="23" t="s">
        <v>110</v>
      </c>
      <c r="C2" s="23"/>
      <c r="D2" s="23"/>
      <c r="E2" s="23"/>
      <c r="F2" s="23"/>
      <c r="G2" s="23"/>
      <c r="H2" s="23"/>
      <c r="I2" s="23"/>
    </row>
    <row r="3" spans="1:9" ht="19.5" customHeight="1" x14ac:dyDescent="0.3">
      <c r="A3" s="14" t="s">
        <v>37</v>
      </c>
      <c r="B3" s="23" t="s">
        <v>111</v>
      </c>
      <c r="C3" s="23"/>
      <c r="D3" s="23"/>
      <c r="E3" s="23"/>
      <c r="F3" s="23"/>
      <c r="G3" s="23"/>
      <c r="H3" s="23"/>
      <c r="I3" s="23"/>
    </row>
    <row r="4" spans="1:9" ht="51.75" customHeight="1" x14ac:dyDescent="0.3">
      <c r="A4" s="14" t="s">
        <v>39</v>
      </c>
      <c r="B4" s="23" t="s">
        <v>40</v>
      </c>
      <c r="C4" s="23"/>
      <c r="D4" s="23"/>
      <c r="E4" s="23"/>
      <c r="F4" s="23"/>
      <c r="G4" s="23"/>
      <c r="H4" s="23"/>
      <c r="I4" s="23"/>
    </row>
    <row r="5" spans="1:9" ht="19.5" customHeight="1" x14ac:dyDescent="0.3">
      <c r="A5" s="14" t="s">
        <v>41</v>
      </c>
      <c r="B5" s="22" t="s">
        <v>159</v>
      </c>
      <c r="C5" s="22"/>
      <c r="D5" s="22"/>
      <c r="E5" s="22"/>
      <c r="F5" s="22"/>
      <c r="G5" s="22"/>
      <c r="H5" s="22"/>
      <c r="I5" s="22"/>
    </row>
    <row r="6" spans="1:9" ht="19.5" customHeight="1" x14ac:dyDescent="0.3">
      <c r="A6" s="14" t="s">
        <v>42</v>
      </c>
      <c r="B6" s="22" t="s">
        <v>160</v>
      </c>
      <c r="C6" s="22"/>
      <c r="D6" s="22"/>
      <c r="E6" s="22"/>
      <c r="F6" s="22"/>
      <c r="G6" s="22"/>
      <c r="H6" s="22"/>
      <c r="I6" s="22"/>
    </row>
    <row r="7" spans="1:9" ht="19.5" customHeight="1" x14ac:dyDescent="0.3">
      <c r="A7" s="14" t="s">
        <v>43</v>
      </c>
      <c r="B7" s="23" t="s">
        <v>44</v>
      </c>
      <c r="C7" s="23"/>
      <c r="D7" s="23"/>
      <c r="E7" s="23"/>
      <c r="F7" s="23"/>
      <c r="G7" s="23"/>
      <c r="H7" s="23"/>
      <c r="I7" s="23"/>
    </row>
    <row r="8" spans="1:9" ht="19.5" customHeight="1" x14ac:dyDescent="0.3">
      <c r="A8" s="14" t="s">
        <v>45</v>
      </c>
      <c r="B8" s="22" t="s">
        <v>151</v>
      </c>
      <c r="C8" s="22"/>
      <c r="D8" s="22"/>
      <c r="E8" s="22"/>
      <c r="F8" s="22"/>
      <c r="G8" s="22"/>
      <c r="H8" s="22"/>
      <c r="I8" s="22"/>
    </row>
    <row r="9" spans="1:9" ht="19.5" customHeight="1" x14ac:dyDescent="0.3">
      <c r="A9" s="14" t="s">
        <v>46</v>
      </c>
      <c r="B9" s="22" t="s">
        <v>152</v>
      </c>
      <c r="C9" s="22"/>
      <c r="D9" s="22"/>
      <c r="E9" s="22"/>
      <c r="F9" s="22"/>
      <c r="G9" s="22"/>
      <c r="H9" s="22"/>
      <c r="I9" s="22"/>
    </row>
    <row r="11" spans="1:9" ht="24" customHeight="1" x14ac:dyDescent="0.3">
      <c r="A11" s="15" t="s">
        <v>47</v>
      </c>
      <c r="B11" s="15" t="s">
        <v>48</v>
      </c>
      <c r="C11" s="15" t="s">
        <v>49</v>
      </c>
      <c r="D11" s="15" t="s">
        <v>50</v>
      </c>
      <c r="E11" s="15" t="s">
        <v>51</v>
      </c>
      <c r="F11" s="15" t="s">
        <v>52</v>
      </c>
      <c r="G11" s="15" t="s">
        <v>53</v>
      </c>
      <c r="H11" s="15" t="s">
        <v>54</v>
      </c>
      <c r="I11" s="15" t="s">
        <v>55</v>
      </c>
    </row>
    <row r="12" spans="1:9" ht="66" x14ac:dyDescent="0.3">
      <c r="A12" s="17" t="s">
        <v>168</v>
      </c>
      <c r="B12" s="17" t="s">
        <v>172</v>
      </c>
      <c r="C12" s="17" t="s">
        <v>169</v>
      </c>
      <c r="D12" s="17" t="s">
        <v>170</v>
      </c>
      <c r="E12" s="17" t="s">
        <v>171</v>
      </c>
      <c r="F12" s="16" t="s">
        <v>21</v>
      </c>
      <c r="G12" s="16" t="s">
        <v>59</v>
      </c>
      <c r="H12" s="1"/>
      <c r="I12" s="1"/>
    </row>
    <row r="13" spans="1:9" ht="66" x14ac:dyDescent="0.3">
      <c r="A13" s="17" t="s">
        <v>207</v>
      </c>
      <c r="B13" s="17" t="s">
        <v>174</v>
      </c>
      <c r="C13" s="17" t="s">
        <v>175</v>
      </c>
      <c r="D13" s="17" t="s">
        <v>176</v>
      </c>
      <c r="E13" s="17" t="s">
        <v>171</v>
      </c>
      <c r="F13" s="16" t="s">
        <v>21</v>
      </c>
      <c r="G13" s="16" t="s">
        <v>63</v>
      </c>
      <c r="H13" s="1"/>
      <c r="I13" s="1"/>
    </row>
    <row r="14" spans="1:9" ht="39.6" x14ac:dyDescent="0.3">
      <c r="A14" s="17" t="s">
        <v>208</v>
      </c>
      <c r="B14" s="17" t="s">
        <v>177</v>
      </c>
      <c r="C14" s="17" t="s">
        <v>178</v>
      </c>
      <c r="D14" s="17" t="s">
        <v>176</v>
      </c>
      <c r="E14" s="17" t="s">
        <v>171</v>
      </c>
      <c r="F14" s="16" t="s">
        <v>21</v>
      </c>
      <c r="G14" s="16" t="s">
        <v>63</v>
      </c>
      <c r="H14" s="1"/>
      <c r="I14" s="1"/>
    </row>
    <row r="15" spans="1:9" ht="39.6" x14ac:dyDescent="0.3">
      <c r="A15" s="17" t="s">
        <v>209</v>
      </c>
      <c r="B15" s="17" t="s">
        <v>179</v>
      </c>
      <c r="C15" s="17" t="s">
        <v>180</v>
      </c>
      <c r="D15" s="17" t="s">
        <v>181</v>
      </c>
      <c r="E15" s="17" t="s">
        <v>182</v>
      </c>
      <c r="F15" s="16" t="s">
        <v>21</v>
      </c>
      <c r="G15" s="16" t="s">
        <v>63</v>
      </c>
      <c r="H15" s="1"/>
      <c r="I15" s="1"/>
    </row>
    <row r="16" spans="1:9" ht="52.8" x14ac:dyDescent="0.3">
      <c r="A16" s="17" t="s">
        <v>210</v>
      </c>
      <c r="B16" s="17" t="s">
        <v>212</v>
      </c>
      <c r="C16" s="17" t="s">
        <v>184</v>
      </c>
      <c r="D16" s="17" t="s">
        <v>183</v>
      </c>
      <c r="E16" s="17" t="s">
        <v>185</v>
      </c>
      <c r="F16" s="16" t="s">
        <v>21</v>
      </c>
      <c r="G16" s="16" t="s">
        <v>59</v>
      </c>
      <c r="H16" s="1"/>
      <c r="I16" s="1"/>
    </row>
    <row r="17" spans="1:9" x14ac:dyDescent="0.3">
      <c r="A17" s="1"/>
      <c r="B17" s="1"/>
      <c r="C17" s="1"/>
      <c r="D17" s="1"/>
      <c r="E17" s="1"/>
      <c r="F17" s="16"/>
      <c r="G17" s="16"/>
      <c r="H17" s="1"/>
      <c r="I17" s="1"/>
    </row>
    <row r="18" spans="1:9" x14ac:dyDescent="0.3">
      <c r="A18" s="1"/>
      <c r="B18" s="1"/>
      <c r="C18" s="1"/>
      <c r="D18" s="1"/>
      <c r="E18" s="1"/>
      <c r="F18" s="16"/>
      <c r="G18" s="16"/>
      <c r="H18" s="1"/>
      <c r="I18" s="1"/>
    </row>
    <row r="19" spans="1:9" x14ac:dyDescent="0.3">
      <c r="A19" s="1"/>
      <c r="B19" s="1"/>
      <c r="C19" s="1"/>
      <c r="D19" s="1"/>
      <c r="E19" s="1"/>
      <c r="F19" s="16"/>
      <c r="G19" s="16"/>
      <c r="H19" s="1"/>
      <c r="I19" s="1"/>
    </row>
    <row r="20" spans="1:9" x14ac:dyDescent="0.3">
      <c r="A20" s="1"/>
      <c r="B20" s="1"/>
      <c r="C20" s="1"/>
      <c r="D20" s="1"/>
      <c r="E20" s="1"/>
      <c r="F20" s="16"/>
      <c r="G20" s="16"/>
      <c r="H20" s="1"/>
      <c r="I20" s="1"/>
    </row>
    <row r="21" spans="1:9" x14ac:dyDescent="0.3">
      <c r="A21" s="1"/>
      <c r="B21" s="1"/>
      <c r="C21" s="1"/>
      <c r="D21" s="1"/>
      <c r="E21" s="1"/>
      <c r="F21" s="16"/>
      <c r="G21" s="16"/>
      <c r="H21" s="1"/>
      <c r="I21" s="1"/>
    </row>
    <row r="22" spans="1:9" x14ac:dyDescent="0.3">
      <c r="A22" s="1"/>
      <c r="B22" s="1"/>
      <c r="C22" s="1"/>
      <c r="D22" s="1"/>
      <c r="E22" s="1"/>
      <c r="F22" s="16"/>
      <c r="G22" s="16"/>
      <c r="H22" s="1"/>
      <c r="I22" s="1"/>
    </row>
    <row r="23" spans="1:9" x14ac:dyDescent="0.3">
      <c r="A23" s="1"/>
      <c r="B23" s="1"/>
      <c r="C23" s="1"/>
      <c r="D23" s="1"/>
      <c r="E23" s="1"/>
      <c r="F23" s="16"/>
      <c r="G23" s="16"/>
      <c r="H23" s="1"/>
      <c r="I23" s="1"/>
    </row>
    <row r="24" spans="1:9" x14ac:dyDescent="0.3">
      <c r="A24" s="1"/>
      <c r="B24" s="1"/>
      <c r="C24" s="1"/>
      <c r="D24" s="1"/>
      <c r="E24" s="1"/>
      <c r="F24" s="16"/>
      <c r="G24" s="16"/>
      <c r="H24" s="1"/>
      <c r="I24" s="1"/>
    </row>
    <row r="25" spans="1:9" x14ac:dyDescent="0.3">
      <c r="A25" s="1"/>
      <c r="B25" s="1"/>
      <c r="C25" s="1"/>
      <c r="D25" s="1"/>
      <c r="E25" s="1"/>
      <c r="F25" s="16"/>
      <c r="G25" s="16"/>
      <c r="H25" s="1"/>
      <c r="I25" s="1"/>
    </row>
    <row r="26" spans="1:9" x14ac:dyDescent="0.3">
      <c r="A26" s="1"/>
      <c r="B26" s="1"/>
      <c r="C26" s="1"/>
      <c r="D26" s="1"/>
      <c r="E26" s="1"/>
      <c r="F26" s="16"/>
      <c r="G26" s="16"/>
      <c r="H26" s="1"/>
      <c r="I26" s="1"/>
    </row>
  </sheetData>
  <mergeCells count="9">
    <mergeCell ref="B6:I6"/>
    <mergeCell ref="B7:I7"/>
    <mergeCell ref="B8:I8"/>
    <mergeCell ref="B9:I9"/>
    <mergeCell ref="B1:I1"/>
    <mergeCell ref="B2:I2"/>
    <mergeCell ref="B3:I3"/>
    <mergeCell ref="B4:I4"/>
    <mergeCell ref="B5:I5"/>
  </mergeCells>
  <conditionalFormatting sqref="F12:F60">
    <cfRule type="cellIs" dxfId="11" priority="2" operator="equal">
      <formula>"Pass"</formula>
    </cfRule>
    <cfRule type="cellIs" dxfId="10" priority="3" operator="equal">
      <formula>"Fail"</formula>
    </cfRule>
    <cfRule type="cellIs" dxfId="9" priority="4" operator="equal">
      <formula>"Blocked"</formula>
    </cfRule>
  </conditionalFormatting>
  <dataValidations count="2">
    <dataValidation type="list" allowBlank="1" sqref="F12:F60" xr:uid="{00000000-0002-0000-0400-000000000000}">
      <formula1>"Pass,Fail,Blocked,Not Run"</formula1>
      <formula2>0</formula2>
    </dataValidation>
    <dataValidation type="list" allowBlank="1" sqref="G12:G60" xr:uid="{00000000-0002-0000-04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6"/>
  <sheetViews>
    <sheetView topLeftCell="A5" zoomScaleNormal="100" workbookViewId="0">
      <selection activeCell="A13" sqref="A13"/>
    </sheetView>
  </sheetViews>
  <sheetFormatPr defaultColWidth="8.6640625" defaultRowHeight="14.4" x14ac:dyDescent="0.3"/>
  <cols>
    <col min="1" max="1" width="15" customWidth="1"/>
    <col min="2" max="2" width="42" customWidth="1"/>
    <col min="3" max="3" width="30" customWidth="1"/>
    <col min="4" max="4" width="38" customWidth="1"/>
    <col min="5" max="5" width="28" customWidth="1"/>
    <col min="6" max="6" width="11" customWidth="1"/>
    <col min="7" max="7" width="10" customWidth="1"/>
    <col min="8" max="8" width="11" customWidth="1"/>
    <col min="9" max="9" width="24" customWidth="1"/>
  </cols>
  <sheetData>
    <row r="1" spans="1:9" ht="19.5" customHeight="1" x14ac:dyDescent="0.3">
      <c r="A1" s="14" t="s">
        <v>34</v>
      </c>
      <c r="B1" s="23" t="s">
        <v>29</v>
      </c>
      <c r="C1" s="23"/>
      <c r="D1" s="23"/>
      <c r="E1" s="23"/>
      <c r="F1" s="23"/>
      <c r="G1" s="23"/>
      <c r="H1" s="23"/>
      <c r="I1" s="23"/>
    </row>
    <row r="2" spans="1:9" ht="19.5" customHeight="1" x14ac:dyDescent="0.3">
      <c r="A2" s="14" t="s">
        <v>35</v>
      </c>
      <c r="B2" s="23" t="s">
        <v>112</v>
      </c>
      <c r="C2" s="23"/>
      <c r="D2" s="23"/>
      <c r="E2" s="23"/>
      <c r="F2" s="23"/>
      <c r="G2" s="23"/>
      <c r="H2" s="23"/>
      <c r="I2" s="23"/>
    </row>
    <row r="3" spans="1:9" ht="19.5" customHeight="1" x14ac:dyDescent="0.3">
      <c r="A3" s="14" t="s">
        <v>37</v>
      </c>
      <c r="B3" s="23" t="s">
        <v>113</v>
      </c>
      <c r="C3" s="23"/>
      <c r="D3" s="23"/>
      <c r="E3" s="23"/>
      <c r="F3" s="23"/>
      <c r="G3" s="23"/>
      <c r="H3" s="23"/>
      <c r="I3" s="23"/>
    </row>
    <row r="4" spans="1:9" ht="51.75" customHeight="1" x14ac:dyDescent="0.3">
      <c r="A4" s="14" t="s">
        <v>39</v>
      </c>
      <c r="B4" s="23" t="s">
        <v>40</v>
      </c>
      <c r="C4" s="23"/>
      <c r="D4" s="23"/>
      <c r="E4" s="23"/>
      <c r="F4" s="23"/>
      <c r="G4" s="23"/>
      <c r="H4" s="23"/>
      <c r="I4" s="23"/>
    </row>
    <row r="5" spans="1:9" ht="19.5" customHeight="1" x14ac:dyDescent="0.3">
      <c r="A5" s="14" t="s">
        <v>41</v>
      </c>
      <c r="B5" s="22" t="s">
        <v>159</v>
      </c>
      <c r="C5" s="22"/>
      <c r="D5" s="22"/>
      <c r="E5" s="22"/>
      <c r="F5" s="22"/>
      <c r="G5" s="22"/>
      <c r="H5" s="22"/>
      <c r="I5" s="22"/>
    </row>
    <row r="6" spans="1:9" ht="19.5" customHeight="1" x14ac:dyDescent="0.3">
      <c r="A6" s="14" t="s">
        <v>42</v>
      </c>
      <c r="B6" s="22" t="s">
        <v>150</v>
      </c>
      <c r="C6" s="22"/>
      <c r="D6" s="22"/>
      <c r="E6" s="22"/>
      <c r="F6" s="22"/>
      <c r="G6" s="22"/>
      <c r="H6" s="22"/>
      <c r="I6" s="22"/>
    </row>
    <row r="7" spans="1:9" ht="19.5" customHeight="1" x14ac:dyDescent="0.3">
      <c r="A7" s="14" t="s">
        <v>43</v>
      </c>
      <c r="B7" s="23" t="s">
        <v>44</v>
      </c>
      <c r="C7" s="23"/>
      <c r="D7" s="23"/>
      <c r="E7" s="23"/>
      <c r="F7" s="23"/>
      <c r="G7" s="23"/>
      <c r="H7" s="23"/>
      <c r="I7" s="23"/>
    </row>
    <row r="8" spans="1:9" ht="19.5" customHeight="1" x14ac:dyDescent="0.3">
      <c r="A8" s="14" t="s">
        <v>45</v>
      </c>
      <c r="B8" s="22" t="s">
        <v>151</v>
      </c>
      <c r="C8" s="22"/>
      <c r="D8" s="22"/>
      <c r="E8" s="22"/>
      <c r="F8" s="22"/>
      <c r="G8" s="22"/>
      <c r="H8" s="22"/>
      <c r="I8" s="22"/>
    </row>
    <row r="9" spans="1:9" ht="19.5" customHeight="1" x14ac:dyDescent="0.3">
      <c r="A9" s="14" t="s">
        <v>46</v>
      </c>
      <c r="B9" s="22" t="s">
        <v>152</v>
      </c>
      <c r="C9" s="22"/>
      <c r="D9" s="22"/>
      <c r="E9" s="22"/>
      <c r="F9" s="22"/>
      <c r="G9" s="22"/>
      <c r="H9" s="22"/>
      <c r="I9" s="22"/>
    </row>
    <row r="11" spans="1:9" ht="24" customHeight="1" x14ac:dyDescent="0.3">
      <c r="A11" s="15" t="s">
        <v>47</v>
      </c>
      <c r="B11" s="15" t="s">
        <v>48</v>
      </c>
      <c r="C11" s="15" t="s">
        <v>49</v>
      </c>
      <c r="D11" s="15" t="s">
        <v>50</v>
      </c>
      <c r="E11" s="15" t="s">
        <v>51</v>
      </c>
      <c r="F11" s="15" t="s">
        <v>52</v>
      </c>
      <c r="G11" s="15" t="s">
        <v>53</v>
      </c>
      <c r="H11" s="15" t="s">
        <v>54</v>
      </c>
      <c r="I11" s="15" t="s">
        <v>55</v>
      </c>
    </row>
    <row r="12" spans="1:9" ht="39.6" x14ac:dyDescent="0.3">
      <c r="A12" s="17" t="s">
        <v>186</v>
      </c>
      <c r="B12" s="17" t="s">
        <v>187</v>
      </c>
      <c r="C12" s="17" t="s">
        <v>188</v>
      </c>
      <c r="D12" s="17" t="s">
        <v>173</v>
      </c>
      <c r="E12" s="17" t="s">
        <v>189</v>
      </c>
      <c r="F12" s="16" t="s">
        <v>21</v>
      </c>
      <c r="G12" s="16" t="s">
        <v>63</v>
      </c>
      <c r="H12" s="1"/>
      <c r="I12" s="1"/>
    </row>
    <row r="13" spans="1:9" ht="43.2" x14ac:dyDescent="0.3">
      <c r="A13" s="17" t="s">
        <v>211</v>
      </c>
      <c r="B13" s="20" t="s">
        <v>190</v>
      </c>
      <c r="C13" s="17" t="s">
        <v>191</v>
      </c>
      <c r="D13" s="17" t="s">
        <v>192</v>
      </c>
      <c r="E13" s="17" t="s">
        <v>193</v>
      </c>
      <c r="F13" s="16" t="s">
        <v>21</v>
      </c>
      <c r="G13" s="16" t="s">
        <v>63</v>
      </c>
      <c r="H13" s="1"/>
      <c r="I13" s="1"/>
    </row>
    <row r="14" spans="1:9" x14ac:dyDescent="0.3">
      <c r="A14" s="17"/>
      <c r="B14" s="1"/>
      <c r="C14" s="1"/>
      <c r="D14" s="1"/>
      <c r="E14" s="1"/>
      <c r="F14" s="16"/>
      <c r="G14" s="16"/>
      <c r="H14" s="1"/>
      <c r="I14" s="1"/>
    </row>
    <row r="15" spans="1:9" x14ac:dyDescent="0.3">
      <c r="A15" s="17"/>
      <c r="B15" s="1"/>
      <c r="C15" s="1"/>
      <c r="D15" s="1"/>
      <c r="E15" s="1"/>
      <c r="F15" s="16"/>
      <c r="G15" s="16"/>
      <c r="H15" s="1"/>
      <c r="I15" s="1"/>
    </row>
    <row r="16" spans="1:9" x14ac:dyDescent="0.3">
      <c r="A16" s="1"/>
      <c r="B16" s="1"/>
      <c r="C16" s="1"/>
      <c r="D16" s="1"/>
      <c r="E16" s="1"/>
      <c r="F16" s="16"/>
      <c r="G16" s="16"/>
      <c r="H16" s="1"/>
      <c r="I16" s="1"/>
    </row>
    <row r="17" spans="1:9" x14ac:dyDescent="0.3">
      <c r="A17" s="1"/>
      <c r="B17" s="1"/>
      <c r="C17" s="1"/>
      <c r="D17" s="1"/>
      <c r="E17" s="1"/>
      <c r="F17" s="16"/>
      <c r="G17" s="16"/>
      <c r="H17" s="1"/>
      <c r="I17" s="1"/>
    </row>
    <row r="18" spans="1:9" x14ac:dyDescent="0.3">
      <c r="A18" s="1"/>
      <c r="B18" s="1"/>
      <c r="C18" s="1"/>
      <c r="D18" s="1"/>
      <c r="E18" s="1"/>
      <c r="F18" s="16"/>
      <c r="G18" s="16"/>
      <c r="H18" s="1"/>
      <c r="I18" s="1"/>
    </row>
    <row r="19" spans="1:9" x14ac:dyDescent="0.3">
      <c r="A19" s="1"/>
      <c r="B19" s="1"/>
      <c r="C19" s="1"/>
      <c r="D19" s="1"/>
      <c r="E19" s="1"/>
      <c r="F19" s="16"/>
      <c r="G19" s="16"/>
      <c r="H19" s="1"/>
      <c r="I19" s="1"/>
    </row>
    <row r="20" spans="1:9" x14ac:dyDescent="0.3">
      <c r="A20" s="1"/>
      <c r="B20" s="1"/>
      <c r="C20" s="1"/>
      <c r="D20" s="1"/>
      <c r="E20" s="1"/>
      <c r="F20" s="16"/>
      <c r="G20" s="16"/>
      <c r="H20" s="1"/>
      <c r="I20" s="1"/>
    </row>
    <row r="21" spans="1:9" x14ac:dyDescent="0.3">
      <c r="A21" s="1"/>
      <c r="B21" s="1"/>
      <c r="C21" s="1"/>
      <c r="D21" s="1"/>
      <c r="E21" s="1"/>
      <c r="F21" s="16"/>
      <c r="G21" s="16"/>
      <c r="H21" s="1"/>
      <c r="I21" s="1"/>
    </row>
    <row r="22" spans="1:9" x14ac:dyDescent="0.3">
      <c r="A22" s="1"/>
      <c r="B22" s="1"/>
      <c r="C22" s="1"/>
      <c r="D22" s="1"/>
      <c r="E22" s="1"/>
      <c r="F22" s="16"/>
      <c r="G22" s="16"/>
      <c r="H22" s="1"/>
      <c r="I22" s="1"/>
    </row>
    <row r="23" spans="1:9" x14ac:dyDescent="0.3">
      <c r="A23" s="1"/>
      <c r="B23" s="1"/>
      <c r="C23" s="1"/>
      <c r="D23" s="1"/>
      <c r="E23" s="1"/>
      <c r="F23" s="16"/>
      <c r="G23" s="16"/>
      <c r="H23" s="1"/>
      <c r="I23" s="1"/>
    </row>
    <row r="24" spans="1:9" x14ac:dyDescent="0.3">
      <c r="A24" s="1"/>
      <c r="B24" s="1"/>
      <c r="C24" s="1"/>
      <c r="D24" s="1"/>
      <c r="E24" s="1"/>
      <c r="F24" s="16"/>
      <c r="G24" s="16"/>
      <c r="H24" s="1"/>
      <c r="I24" s="1"/>
    </row>
    <row r="25" spans="1:9" x14ac:dyDescent="0.3">
      <c r="A25" s="1"/>
      <c r="B25" s="1"/>
      <c r="C25" s="1"/>
      <c r="D25" s="1"/>
      <c r="E25" s="1"/>
      <c r="F25" s="16"/>
      <c r="G25" s="16"/>
      <c r="H25" s="1"/>
      <c r="I25" s="1"/>
    </row>
    <row r="26" spans="1:9" x14ac:dyDescent="0.3">
      <c r="A26" s="1"/>
      <c r="B26" s="1"/>
      <c r="C26" s="1"/>
      <c r="D26" s="1"/>
      <c r="E26" s="1"/>
      <c r="F26" s="16"/>
      <c r="G26" s="16"/>
      <c r="H26" s="1"/>
      <c r="I26" s="1"/>
    </row>
  </sheetData>
  <mergeCells count="9">
    <mergeCell ref="B6:I6"/>
    <mergeCell ref="B7:I7"/>
    <mergeCell ref="B8:I8"/>
    <mergeCell ref="B9:I9"/>
    <mergeCell ref="B1:I1"/>
    <mergeCell ref="B2:I2"/>
    <mergeCell ref="B3:I3"/>
    <mergeCell ref="B4:I4"/>
    <mergeCell ref="B5:I5"/>
  </mergeCells>
  <conditionalFormatting sqref="F12:F60">
    <cfRule type="cellIs" dxfId="8" priority="2" operator="equal">
      <formula>"Pass"</formula>
    </cfRule>
    <cfRule type="cellIs" dxfId="7" priority="3" operator="equal">
      <formula>"Fail"</formula>
    </cfRule>
    <cfRule type="cellIs" dxfId="6" priority="4" operator="equal">
      <formula>"Blocked"</formula>
    </cfRule>
  </conditionalFormatting>
  <dataValidations count="2">
    <dataValidation type="list" allowBlank="1" sqref="F12:F60" xr:uid="{00000000-0002-0000-0500-000000000000}">
      <formula1>"Pass,Fail,Blocked,Not Run"</formula1>
      <formula2>0</formula2>
    </dataValidation>
    <dataValidation type="list" allowBlank="1" sqref="G12:G60" xr:uid="{00000000-0002-0000-05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6"/>
  <sheetViews>
    <sheetView topLeftCell="A8" zoomScaleNormal="100" workbookViewId="0">
      <selection activeCell="B6" sqref="B6:I6"/>
    </sheetView>
  </sheetViews>
  <sheetFormatPr defaultColWidth="8.6640625" defaultRowHeight="14.4" x14ac:dyDescent="0.3"/>
  <cols>
    <col min="1" max="1" width="18.44140625" customWidth="1"/>
    <col min="2" max="2" width="42" customWidth="1"/>
    <col min="3" max="3" width="30" customWidth="1"/>
    <col min="4" max="4" width="38" customWidth="1"/>
    <col min="5" max="5" width="28" customWidth="1"/>
    <col min="6" max="6" width="11" customWidth="1"/>
    <col min="7" max="7" width="10" customWidth="1"/>
    <col min="8" max="8" width="11" customWidth="1"/>
    <col min="9" max="9" width="24" customWidth="1"/>
  </cols>
  <sheetData>
    <row r="1" spans="1:9" ht="19.5" customHeight="1" x14ac:dyDescent="0.3">
      <c r="A1" s="14" t="s">
        <v>34</v>
      </c>
      <c r="B1" s="23" t="s">
        <v>30</v>
      </c>
      <c r="C1" s="23"/>
      <c r="D1" s="23"/>
      <c r="E1" s="23"/>
      <c r="F1" s="23"/>
      <c r="G1" s="23"/>
      <c r="H1" s="23"/>
      <c r="I1" s="23"/>
    </row>
    <row r="2" spans="1:9" ht="19.5" customHeight="1" x14ac:dyDescent="0.3">
      <c r="A2" s="14" t="s">
        <v>35</v>
      </c>
      <c r="B2" s="23" t="s">
        <v>114</v>
      </c>
      <c r="C2" s="23"/>
      <c r="D2" s="23"/>
      <c r="E2" s="23"/>
      <c r="F2" s="23"/>
      <c r="G2" s="23"/>
      <c r="H2" s="23"/>
      <c r="I2" s="23"/>
    </row>
    <row r="3" spans="1:9" ht="19.5" customHeight="1" x14ac:dyDescent="0.3">
      <c r="A3" s="14" t="s">
        <v>37</v>
      </c>
      <c r="B3" s="23" t="s">
        <v>115</v>
      </c>
      <c r="C3" s="23"/>
      <c r="D3" s="23"/>
      <c r="E3" s="23"/>
      <c r="F3" s="23"/>
      <c r="G3" s="23"/>
      <c r="H3" s="23"/>
      <c r="I3" s="23"/>
    </row>
    <row r="4" spans="1:9" ht="51.75" customHeight="1" x14ac:dyDescent="0.3">
      <c r="A4" s="14" t="s">
        <v>39</v>
      </c>
      <c r="B4" s="23" t="s">
        <v>40</v>
      </c>
      <c r="C4" s="23"/>
      <c r="D4" s="23"/>
      <c r="E4" s="23"/>
      <c r="F4" s="23"/>
      <c r="G4" s="23"/>
      <c r="H4" s="23"/>
      <c r="I4" s="23"/>
    </row>
    <row r="5" spans="1:9" ht="19.5" customHeight="1" x14ac:dyDescent="0.3">
      <c r="A5" s="14" t="s">
        <v>41</v>
      </c>
      <c r="B5" s="22" t="s">
        <v>159</v>
      </c>
      <c r="C5" s="22"/>
      <c r="D5" s="22"/>
      <c r="E5" s="22"/>
      <c r="F5" s="22"/>
      <c r="G5" s="22"/>
      <c r="H5" s="22"/>
      <c r="I5" s="22"/>
    </row>
    <row r="6" spans="1:9" ht="19.5" customHeight="1" x14ac:dyDescent="0.3">
      <c r="A6" s="14" t="s">
        <v>42</v>
      </c>
      <c r="B6" s="22" t="s">
        <v>160</v>
      </c>
      <c r="C6" s="22"/>
      <c r="D6" s="22"/>
      <c r="E6" s="22"/>
      <c r="F6" s="22"/>
      <c r="G6" s="22"/>
      <c r="H6" s="22"/>
      <c r="I6" s="22"/>
    </row>
    <row r="7" spans="1:9" ht="19.5" customHeight="1" x14ac:dyDescent="0.3">
      <c r="A7" s="14" t="s">
        <v>43</v>
      </c>
      <c r="B7" s="23" t="s">
        <v>44</v>
      </c>
      <c r="C7" s="23"/>
      <c r="D7" s="23"/>
      <c r="E7" s="23"/>
      <c r="F7" s="23"/>
      <c r="G7" s="23"/>
      <c r="H7" s="23"/>
      <c r="I7" s="23"/>
    </row>
    <row r="8" spans="1:9" ht="19.5" customHeight="1" x14ac:dyDescent="0.3">
      <c r="A8" s="14" t="s">
        <v>45</v>
      </c>
      <c r="B8" s="22" t="s">
        <v>151</v>
      </c>
      <c r="C8" s="22"/>
      <c r="D8" s="22"/>
      <c r="E8" s="22"/>
      <c r="F8" s="22"/>
      <c r="G8" s="22"/>
      <c r="H8" s="22"/>
      <c r="I8" s="22"/>
    </row>
    <row r="9" spans="1:9" ht="19.5" customHeight="1" x14ac:dyDescent="0.3">
      <c r="A9" s="14" t="s">
        <v>46</v>
      </c>
      <c r="B9" s="22" t="s">
        <v>152</v>
      </c>
      <c r="C9" s="22"/>
      <c r="D9" s="22"/>
      <c r="E9" s="22"/>
      <c r="F9" s="22"/>
      <c r="G9" s="22"/>
      <c r="H9" s="22"/>
      <c r="I9" s="22"/>
    </row>
    <row r="11" spans="1:9" ht="24" customHeight="1" x14ac:dyDescent="0.3">
      <c r="A11" s="15" t="s">
        <v>47</v>
      </c>
      <c r="B11" s="15" t="s">
        <v>48</v>
      </c>
      <c r="C11" s="15" t="s">
        <v>49</v>
      </c>
      <c r="D11" s="15" t="s">
        <v>50</v>
      </c>
      <c r="E11" s="15" t="s">
        <v>51</v>
      </c>
      <c r="F11" s="15" t="s">
        <v>52</v>
      </c>
      <c r="G11" s="15" t="s">
        <v>53</v>
      </c>
      <c r="H11" s="15" t="s">
        <v>54</v>
      </c>
      <c r="I11" s="15" t="s">
        <v>55</v>
      </c>
    </row>
    <row r="12" spans="1:9" ht="39.6" x14ac:dyDescent="0.3">
      <c r="A12" s="17" t="s">
        <v>194</v>
      </c>
      <c r="B12" s="17" t="s">
        <v>195</v>
      </c>
      <c r="C12" s="17" t="s">
        <v>196</v>
      </c>
      <c r="D12" s="17" t="s">
        <v>199</v>
      </c>
      <c r="E12" s="17" t="s">
        <v>200</v>
      </c>
      <c r="F12" s="16" t="s">
        <v>21</v>
      </c>
      <c r="G12" s="16" t="s">
        <v>59</v>
      </c>
      <c r="H12" s="1"/>
      <c r="I12" s="1"/>
    </row>
    <row r="13" spans="1:9" ht="39.6" x14ac:dyDescent="0.3">
      <c r="A13" s="17" t="s">
        <v>206</v>
      </c>
      <c r="B13" s="17" t="s">
        <v>195</v>
      </c>
      <c r="C13" s="17" t="s">
        <v>197</v>
      </c>
      <c r="D13" s="17" t="s">
        <v>198</v>
      </c>
      <c r="E13" s="17" t="s">
        <v>198</v>
      </c>
      <c r="F13" s="16" t="s">
        <v>21</v>
      </c>
      <c r="G13" s="16" t="s">
        <v>59</v>
      </c>
      <c r="H13" s="1"/>
      <c r="I13" s="1"/>
    </row>
    <row r="14" spans="1:9" ht="52.8" x14ac:dyDescent="0.3">
      <c r="A14" s="17" t="s">
        <v>205</v>
      </c>
      <c r="B14" s="17" t="s">
        <v>201</v>
      </c>
      <c r="C14" s="17" t="s">
        <v>202</v>
      </c>
      <c r="D14" s="1" t="s">
        <v>203</v>
      </c>
      <c r="E14" s="1" t="s">
        <v>204</v>
      </c>
      <c r="F14" s="16" t="s">
        <v>21</v>
      </c>
      <c r="G14" s="16" t="s">
        <v>59</v>
      </c>
      <c r="H14" s="1"/>
      <c r="I14" s="1"/>
    </row>
    <row r="15" spans="1:9" x14ac:dyDescent="0.3">
      <c r="A15" s="1"/>
      <c r="B15" s="1"/>
      <c r="C15" s="1"/>
      <c r="D15" s="1"/>
      <c r="E15" s="1"/>
      <c r="F15" s="16"/>
      <c r="G15" s="16"/>
      <c r="H15" s="1"/>
      <c r="I15" s="1"/>
    </row>
    <row r="16" spans="1:9" x14ac:dyDescent="0.3">
      <c r="A16" s="1"/>
      <c r="B16" s="1"/>
      <c r="C16" s="1"/>
      <c r="D16" s="1"/>
      <c r="E16" s="1"/>
      <c r="F16" s="16"/>
      <c r="G16" s="16"/>
      <c r="H16" s="1"/>
      <c r="I16" s="1"/>
    </row>
    <row r="17" spans="1:9" x14ac:dyDescent="0.3">
      <c r="A17" s="1"/>
      <c r="B17" s="1"/>
      <c r="C17" s="1"/>
      <c r="D17" s="1"/>
      <c r="E17" s="1"/>
      <c r="F17" s="16"/>
      <c r="G17" s="16"/>
      <c r="H17" s="1"/>
      <c r="I17" s="1"/>
    </row>
    <row r="18" spans="1:9" x14ac:dyDescent="0.3">
      <c r="A18" s="1"/>
      <c r="B18" s="1"/>
      <c r="C18" s="1"/>
      <c r="D18" s="1"/>
      <c r="E18" s="1"/>
      <c r="F18" s="16"/>
      <c r="G18" s="16"/>
      <c r="H18" s="1"/>
      <c r="I18" s="1"/>
    </row>
    <row r="19" spans="1:9" x14ac:dyDescent="0.3">
      <c r="A19" s="1"/>
      <c r="B19" s="1"/>
      <c r="C19" s="1"/>
      <c r="D19" s="1"/>
      <c r="E19" s="1"/>
      <c r="F19" s="16"/>
      <c r="G19" s="16"/>
      <c r="H19" s="1"/>
      <c r="I19" s="1"/>
    </row>
    <row r="20" spans="1:9" x14ac:dyDescent="0.3">
      <c r="A20" s="1"/>
      <c r="B20" s="1"/>
      <c r="C20" s="1"/>
      <c r="D20" s="1"/>
      <c r="E20" s="1"/>
      <c r="F20" s="16"/>
      <c r="G20" s="16"/>
      <c r="H20" s="1"/>
      <c r="I20" s="1"/>
    </row>
    <row r="21" spans="1:9" x14ac:dyDescent="0.3">
      <c r="A21" s="1"/>
      <c r="B21" s="1"/>
      <c r="C21" s="1"/>
      <c r="D21" s="1"/>
      <c r="E21" s="1"/>
      <c r="F21" s="16"/>
      <c r="G21" s="16"/>
      <c r="H21" s="1"/>
      <c r="I21" s="1"/>
    </row>
    <row r="22" spans="1:9" x14ac:dyDescent="0.3">
      <c r="A22" s="1"/>
      <c r="B22" s="1"/>
      <c r="C22" s="1"/>
      <c r="D22" s="1"/>
      <c r="E22" s="1"/>
      <c r="F22" s="16"/>
      <c r="G22" s="16"/>
      <c r="H22" s="1"/>
      <c r="I22" s="1"/>
    </row>
    <row r="23" spans="1:9" x14ac:dyDescent="0.3">
      <c r="A23" s="1"/>
      <c r="B23" s="1"/>
      <c r="C23" s="1"/>
      <c r="D23" s="1"/>
      <c r="E23" s="1"/>
      <c r="F23" s="16"/>
      <c r="G23" s="16"/>
      <c r="H23" s="1"/>
      <c r="I23" s="1"/>
    </row>
    <row r="24" spans="1:9" x14ac:dyDescent="0.3">
      <c r="A24" s="1"/>
      <c r="B24" s="1"/>
      <c r="C24" s="1"/>
      <c r="D24" s="1"/>
      <c r="E24" s="1"/>
      <c r="F24" s="16"/>
      <c r="G24" s="16"/>
      <c r="H24" s="1"/>
      <c r="I24" s="1"/>
    </row>
    <row r="25" spans="1:9" x14ac:dyDescent="0.3">
      <c r="A25" s="1"/>
      <c r="B25" s="1"/>
      <c r="C25" s="1"/>
      <c r="D25" s="1"/>
      <c r="E25" s="1"/>
      <c r="F25" s="16"/>
      <c r="G25" s="16"/>
      <c r="H25" s="1"/>
      <c r="I25" s="1"/>
    </row>
    <row r="26" spans="1:9" x14ac:dyDescent="0.3">
      <c r="A26" s="1"/>
      <c r="B26" s="1"/>
      <c r="C26" s="1"/>
      <c r="D26" s="1"/>
      <c r="E26" s="1"/>
      <c r="F26" s="16"/>
      <c r="G26" s="16"/>
      <c r="H26" s="1"/>
      <c r="I26" s="1"/>
    </row>
  </sheetData>
  <mergeCells count="9">
    <mergeCell ref="B6:I6"/>
    <mergeCell ref="B7:I7"/>
    <mergeCell ref="B8:I8"/>
    <mergeCell ref="B9:I9"/>
    <mergeCell ref="B1:I1"/>
    <mergeCell ref="B2:I2"/>
    <mergeCell ref="B3:I3"/>
    <mergeCell ref="B4:I4"/>
    <mergeCell ref="B5:I5"/>
  </mergeCells>
  <conditionalFormatting sqref="F12:F60">
    <cfRule type="cellIs" dxfId="5" priority="2" operator="equal">
      <formula>"Pass"</formula>
    </cfRule>
    <cfRule type="cellIs" dxfId="4" priority="3" operator="equal">
      <formula>"Fail"</formula>
    </cfRule>
    <cfRule type="cellIs" dxfId="3" priority="4" operator="equal">
      <formula>"Blocked"</formula>
    </cfRule>
  </conditionalFormatting>
  <dataValidations count="2">
    <dataValidation type="list" allowBlank="1" sqref="F12:F60" xr:uid="{00000000-0002-0000-0600-000000000000}">
      <formula1>"Pass,Fail,Blocked,Not Run"</formula1>
      <formula2>0</formula2>
    </dataValidation>
    <dataValidation type="list" allowBlank="1" sqref="G12:G60" xr:uid="{00000000-0002-0000-06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6"/>
  <sheetViews>
    <sheetView topLeftCell="A12" zoomScale="95" zoomScaleNormal="95" workbookViewId="0">
      <selection activeCell="H14" sqref="H14"/>
    </sheetView>
  </sheetViews>
  <sheetFormatPr defaultColWidth="8.6640625" defaultRowHeight="14.4" x14ac:dyDescent="0.3"/>
  <cols>
    <col min="1" max="1" width="20.109375" customWidth="1"/>
    <col min="2" max="2" width="42" customWidth="1"/>
    <col min="3" max="3" width="30" customWidth="1"/>
    <col min="4" max="4" width="38" customWidth="1"/>
    <col min="5" max="5" width="28" customWidth="1"/>
    <col min="6" max="6" width="11" customWidth="1"/>
    <col min="7" max="7" width="10" customWidth="1"/>
    <col min="8" max="8" width="15.77734375" customWidth="1"/>
    <col min="9" max="9" width="24" customWidth="1"/>
  </cols>
  <sheetData>
    <row r="1" spans="1:9" ht="19.5" customHeight="1" x14ac:dyDescent="0.3">
      <c r="A1" s="14" t="s">
        <v>34</v>
      </c>
      <c r="B1" s="23" t="s">
        <v>116</v>
      </c>
      <c r="C1" s="23"/>
      <c r="D1" s="23"/>
      <c r="E1" s="23"/>
      <c r="F1" s="23"/>
      <c r="G1" s="23"/>
      <c r="H1" s="23"/>
      <c r="I1" s="23"/>
    </row>
    <row r="2" spans="1:9" ht="19.5" customHeight="1" x14ac:dyDescent="0.3">
      <c r="A2" s="14" t="s">
        <v>35</v>
      </c>
      <c r="B2" s="23" t="s">
        <v>117</v>
      </c>
      <c r="C2" s="23"/>
      <c r="D2" s="23"/>
      <c r="E2" s="23"/>
      <c r="F2" s="23"/>
      <c r="G2" s="23"/>
      <c r="H2" s="23"/>
      <c r="I2" s="23"/>
    </row>
    <row r="3" spans="1:9" ht="19.5" customHeight="1" x14ac:dyDescent="0.3">
      <c r="A3" s="14" t="s">
        <v>37</v>
      </c>
      <c r="B3" s="23" t="s">
        <v>118</v>
      </c>
      <c r="C3" s="23"/>
      <c r="D3" s="23"/>
      <c r="E3" s="23"/>
      <c r="F3" s="23"/>
      <c r="G3" s="23"/>
      <c r="H3" s="23"/>
      <c r="I3" s="23"/>
    </row>
    <row r="4" spans="1:9" ht="51.75" customHeight="1" x14ac:dyDescent="0.3">
      <c r="A4" s="14" t="s">
        <v>39</v>
      </c>
      <c r="B4" s="23" t="s">
        <v>40</v>
      </c>
      <c r="C4" s="23"/>
      <c r="D4" s="23"/>
      <c r="E4" s="23"/>
      <c r="F4" s="23"/>
      <c r="G4" s="23"/>
      <c r="H4" s="23"/>
      <c r="I4" s="23"/>
    </row>
    <row r="5" spans="1:9" ht="19.5" customHeight="1" x14ac:dyDescent="0.3">
      <c r="A5" s="14" t="s">
        <v>41</v>
      </c>
      <c r="B5" s="21" t="s">
        <v>149</v>
      </c>
      <c r="C5" s="22"/>
      <c r="D5" s="22"/>
      <c r="E5" s="22"/>
      <c r="F5" s="22"/>
      <c r="G5" s="22"/>
      <c r="H5" s="22"/>
      <c r="I5" s="22"/>
    </row>
    <row r="6" spans="1:9" ht="19.5" customHeight="1" x14ac:dyDescent="0.3">
      <c r="A6" s="14" t="s">
        <v>42</v>
      </c>
      <c r="B6" s="21" t="s">
        <v>150</v>
      </c>
      <c r="C6" s="22"/>
      <c r="D6" s="22"/>
      <c r="E6" s="22"/>
      <c r="F6" s="22"/>
      <c r="G6" s="22"/>
      <c r="H6" s="22"/>
      <c r="I6" s="22"/>
    </row>
    <row r="7" spans="1:9" ht="19.5" customHeight="1" x14ac:dyDescent="0.3">
      <c r="A7" s="14" t="s">
        <v>43</v>
      </c>
      <c r="B7" s="23" t="s">
        <v>44</v>
      </c>
      <c r="C7" s="23"/>
      <c r="D7" s="23"/>
      <c r="E7" s="23"/>
      <c r="F7" s="23"/>
      <c r="G7" s="23"/>
      <c r="H7" s="23"/>
      <c r="I7" s="23"/>
    </row>
    <row r="8" spans="1:9" ht="19.5" customHeight="1" x14ac:dyDescent="0.3">
      <c r="A8" s="14" t="s">
        <v>45</v>
      </c>
      <c r="B8" s="21" t="s">
        <v>151</v>
      </c>
      <c r="C8" s="22"/>
      <c r="D8" s="22"/>
      <c r="E8" s="22"/>
      <c r="F8" s="22"/>
      <c r="G8" s="22"/>
      <c r="H8" s="22"/>
      <c r="I8" s="22"/>
    </row>
    <row r="9" spans="1:9" ht="19.5" customHeight="1" x14ac:dyDescent="0.3">
      <c r="A9" s="14" t="s">
        <v>46</v>
      </c>
      <c r="B9" s="21" t="s">
        <v>152</v>
      </c>
      <c r="C9" s="22"/>
      <c r="D9" s="22"/>
      <c r="E9" s="22"/>
      <c r="F9" s="22"/>
      <c r="G9" s="22"/>
      <c r="H9" s="22"/>
      <c r="I9" s="22"/>
    </row>
    <row r="11" spans="1:9" ht="24" customHeight="1" x14ac:dyDescent="0.3">
      <c r="A11" s="15" t="s">
        <v>47</v>
      </c>
      <c r="B11" s="15" t="s">
        <v>48</v>
      </c>
      <c r="C11" s="15" t="s">
        <v>49</v>
      </c>
      <c r="D11" s="15" t="s">
        <v>50</v>
      </c>
      <c r="E11" s="15" t="s">
        <v>51</v>
      </c>
      <c r="F11" s="15" t="s">
        <v>52</v>
      </c>
      <c r="G11" s="15" t="s">
        <v>53</v>
      </c>
      <c r="H11" s="15" t="s">
        <v>54</v>
      </c>
      <c r="I11" s="15" t="s">
        <v>55</v>
      </c>
    </row>
    <row r="12" spans="1:9" ht="107.4" customHeight="1" x14ac:dyDescent="0.3">
      <c r="A12" s="1" t="s">
        <v>119</v>
      </c>
      <c r="B12" s="17" t="s">
        <v>120</v>
      </c>
      <c r="C12" s="17" t="s">
        <v>121</v>
      </c>
      <c r="D12" s="1" t="s">
        <v>122</v>
      </c>
      <c r="E12" s="17" t="s">
        <v>122</v>
      </c>
      <c r="F12" s="18" t="s">
        <v>21</v>
      </c>
      <c r="G12" s="16" t="s">
        <v>59</v>
      </c>
      <c r="H12" s="1"/>
      <c r="I12" s="1"/>
    </row>
    <row r="13" spans="1:9" ht="52.8" x14ac:dyDescent="0.3">
      <c r="A13" s="17" t="s">
        <v>139</v>
      </c>
      <c r="B13" s="17" t="s">
        <v>123</v>
      </c>
      <c r="C13" s="17" t="s">
        <v>124</v>
      </c>
      <c r="D13" s="17" t="s">
        <v>147</v>
      </c>
      <c r="E13" s="17" t="s">
        <v>147</v>
      </c>
      <c r="F13" s="16" t="s">
        <v>21</v>
      </c>
      <c r="G13" s="16" t="s">
        <v>63</v>
      </c>
      <c r="H13" s="1"/>
      <c r="I13" s="1"/>
    </row>
    <row r="14" spans="1:9" ht="52.8" x14ac:dyDescent="0.3">
      <c r="A14" t="s">
        <v>140</v>
      </c>
      <c r="B14" s="17" t="s">
        <v>125</v>
      </c>
      <c r="C14" s="17" t="s">
        <v>126</v>
      </c>
      <c r="D14" s="17" t="s">
        <v>147</v>
      </c>
      <c r="E14" s="17" t="s">
        <v>122</v>
      </c>
      <c r="F14" s="16" t="s">
        <v>22</v>
      </c>
      <c r="G14" s="16" t="s">
        <v>63</v>
      </c>
      <c r="H14" s="17" t="s">
        <v>215</v>
      </c>
      <c r="I14" s="1"/>
    </row>
    <row r="15" spans="1:9" ht="52.8" x14ac:dyDescent="0.3">
      <c r="A15" s="17" t="s">
        <v>141</v>
      </c>
      <c r="B15" s="17" t="s">
        <v>127</v>
      </c>
      <c r="C15" s="17" t="s">
        <v>130</v>
      </c>
      <c r="D15" s="17" t="s">
        <v>147</v>
      </c>
      <c r="E15" s="17" t="s">
        <v>147</v>
      </c>
      <c r="F15" s="16" t="s">
        <v>21</v>
      </c>
      <c r="G15" s="16" t="s">
        <v>63</v>
      </c>
      <c r="H15" s="1"/>
      <c r="I15" s="1"/>
    </row>
    <row r="16" spans="1:9" ht="52.8" x14ac:dyDescent="0.3">
      <c r="A16" s="17" t="s">
        <v>142</v>
      </c>
      <c r="B16" s="17" t="s">
        <v>128</v>
      </c>
      <c r="C16" s="17" t="s">
        <v>131</v>
      </c>
      <c r="D16" s="17" t="s">
        <v>147</v>
      </c>
      <c r="E16" s="17" t="s">
        <v>147</v>
      </c>
      <c r="F16" s="16" t="s">
        <v>21</v>
      </c>
      <c r="G16" s="16" t="s">
        <v>63</v>
      </c>
      <c r="H16" s="1"/>
      <c r="I16" s="1"/>
    </row>
    <row r="17" spans="1:9" ht="52.8" x14ac:dyDescent="0.3">
      <c r="A17" s="17" t="s">
        <v>143</v>
      </c>
      <c r="B17" s="17" t="s">
        <v>129</v>
      </c>
      <c r="C17" s="17" t="s">
        <v>132</v>
      </c>
      <c r="D17" s="17" t="s">
        <v>147</v>
      </c>
      <c r="E17" s="17" t="s">
        <v>147</v>
      </c>
      <c r="F17" s="16" t="s">
        <v>21</v>
      </c>
      <c r="G17" s="16" t="s">
        <v>63</v>
      </c>
      <c r="H17" s="1"/>
      <c r="I17" s="1"/>
    </row>
    <row r="18" spans="1:9" ht="39.6" x14ac:dyDescent="0.3">
      <c r="A18" s="17" t="s">
        <v>144</v>
      </c>
      <c r="B18" s="17" t="s">
        <v>133</v>
      </c>
      <c r="C18" s="17" t="s">
        <v>134</v>
      </c>
      <c r="D18" s="17" t="s">
        <v>147</v>
      </c>
      <c r="E18" s="17" t="s">
        <v>147</v>
      </c>
      <c r="F18" s="16" t="s">
        <v>21</v>
      </c>
      <c r="G18" s="16" t="s">
        <v>59</v>
      </c>
      <c r="H18" s="1"/>
      <c r="I18" s="1"/>
    </row>
    <row r="19" spans="1:9" ht="52.8" x14ac:dyDescent="0.3">
      <c r="A19" s="17" t="s">
        <v>145</v>
      </c>
      <c r="B19" s="17" t="s">
        <v>136</v>
      </c>
      <c r="C19" s="17" t="s">
        <v>135</v>
      </c>
      <c r="D19" s="17" t="s">
        <v>148</v>
      </c>
      <c r="E19" s="17" t="s">
        <v>148</v>
      </c>
      <c r="F19" s="16" t="s">
        <v>21</v>
      </c>
      <c r="G19" s="16" t="s">
        <v>59</v>
      </c>
      <c r="H19" s="1"/>
      <c r="I19" s="1"/>
    </row>
    <row r="20" spans="1:9" ht="52.8" x14ac:dyDescent="0.3">
      <c r="A20" s="17" t="s">
        <v>146</v>
      </c>
      <c r="B20" s="17" t="s">
        <v>137</v>
      </c>
      <c r="C20" s="17" t="s">
        <v>138</v>
      </c>
      <c r="D20" s="17" t="s">
        <v>148</v>
      </c>
      <c r="E20" s="17" t="s">
        <v>122</v>
      </c>
      <c r="F20" s="16" t="s">
        <v>22</v>
      </c>
      <c r="G20" s="16" t="s">
        <v>81</v>
      </c>
      <c r="H20" s="17" t="s">
        <v>214</v>
      </c>
      <c r="I20" s="1"/>
    </row>
    <row r="21" spans="1:9" x14ac:dyDescent="0.3">
      <c r="A21" s="1"/>
      <c r="B21" s="1"/>
      <c r="C21" s="1"/>
      <c r="D21" s="1"/>
      <c r="E21" s="1"/>
      <c r="F21" s="16"/>
      <c r="G21" s="16"/>
      <c r="H21" s="1"/>
      <c r="I21" s="1"/>
    </row>
    <row r="22" spans="1:9" x14ac:dyDescent="0.3">
      <c r="A22" s="1"/>
      <c r="B22" s="1"/>
      <c r="C22" s="1"/>
      <c r="D22" s="1"/>
      <c r="E22" s="1"/>
      <c r="F22" s="16"/>
      <c r="G22" s="16"/>
      <c r="H22" s="1"/>
      <c r="I22" s="1"/>
    </row>
    <row r="23" spans="1:9" x14ac:dyDescent="0.3">
      <c r="A23" s="1"/>
      <c r="B23" s="1"/>
      <c r="C23" s="1"/>
      <c r="D23" s="1"/>
      <c r="E23" s="1"/>
      <c r="F23" s="16"/>
      <c r="G23" s="16"/>
      <c r="H23" s="1"/>
      <c r="I23" s="1"/>
    </row>
    <row r="24" spans="1:9" x14ac:dyDescent="0.3">
      <c r="A24" s="1"/>
      <c r="B24" s="1"/>
      <c r="C24" s="1"/>
      <c r="D24" s="1"/>
      <c r="E24" s="1"/>
      <c r="F24" s="16"/>
      <c r="G24" s="16"/>
      <c r="H24" s="1"/>
      <c r="I24" s="1"/>
    </row>
    <row r="25" spans="1:9" x14ac:dyDescent="0.3">
      <c r="A25" s="1"/>
      <c r="B25" s="1"/>
      <c r="C25" s="1"/>
      <c r="D25" s="1"/>
      <c r="E25" s="1"/>
      <c r="F25" s="16"/>
      <c r="G25" s="16"/>
      <c r="H25" s="1"/>
      <c r="I25" s="1"/>
    </row>
    <row r="26" spans="1:9" x14ac:dyDescent="0.3">
      <c r="A26" s="1"/>
      <c r="B26" s="1"/>
      <c r="C26" s="1"/>
      <c r="D26" s="1"/>
      <c r="E26" s="1"/>
      <c r="F26" s="16"/>
      <c r="G26" s="16"/>
      <c r="H26" s="1"/>
      <c r="I26" s="1"/>
    </row>
  </sheetData>
  <mergeCells count="9">
    <mergeCell ref="B6:I6"/>
    <mergeCell ref="B7:I7"/>
    <mergeCell ref="B8:I8"/>
    <mergeCell ref="B9:I9"/>
    <mergeCell ref="B1:I1"/>
    <mergeCell ref="B2:I2"/>
    <mergeCell ref="B3:I3"/>
    <mergeCell ref="B4:I4"/>
    <mergeCell ref="B5:I5"/>
  </mergeCells>
  <conditionalFormatting sqref="F12:F60">
    <cfRule type="cellIs" dxfId="2" priority="2" operator="equal">
      <formula>"Pass"</formula>
    </cfRule>
    <cfRule type="cellIs" dxfId="1" priority="3" operator="equal">
      <formula>"Fail"</formula>
    </cfRule>
    <cfRule type="cellIs" dxfId="0" priority="4" operator="equal">
      <formula>"Blocked"</formula>
    </cfRule>
  </conditionalFormatting>
  <dataValidations count="2">
    <dataValidation type="list" allowBlank="1" sqref="F12:F60" xr:uid="{00000000-0002-0000-0700-000000000000}">
      <formula1>"Pass,Fail,Blocked,Not Run"</formula1>
      <formula2>0</formula2>
    </dataValidation>
    <dataValidation type="list" allowBlank="1" sqref="G12:G60" xr:uid="{00000000-0002-0000-0700-000001000000}">
      <formula1>"High,Medium,Low"</formula1>
      <formula2>0</formula2>
    </dataValidation>
  </dataValidation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Summary</vt:lpstr>
      <vt:lpstr>Signup</vt:lpstr>
      <vt:lpstr>Login</vt:lpstr>
      <vt:lpstr>Products_Search</vt:lpstr>
      <vt:lpstr>Cart</vt:lpstr>
      <vt:lpstr>Checkout</vt:lpstr>
      <vt:lpstr>Contact_Us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kishbhatiya2005@gmail.com</cp:lastModifiedBy>
  <cp:revision>0</cp:revision>
  <dcterms:created xsi:type="dcterms:W3CDTF">2026-10-05T16:17:43Z</dcterms:created>
  <dcterms:modified xsi:type="dcterms:W3CDTF">2026-10-06T06:13:31Z</dcterms:modified>
  <dc:language>en-US</dc:language>
</cp:coreProperties>
</file>